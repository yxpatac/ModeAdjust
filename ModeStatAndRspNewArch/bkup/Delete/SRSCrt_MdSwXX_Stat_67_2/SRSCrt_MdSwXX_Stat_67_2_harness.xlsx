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SRSCrt_MdSwXX_Stat_67_2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V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W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I3" authorId="3" shapeId="0">
      <text>
        <r>
          <rPr>
            <sz val="9"/>
            <rFont val="宋体"/>
            <charset val="134"/>
          </rPr>
          <t>测试结果</t>
        </r>
      </text>
    </comment>
    <comment ref="B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B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<sst xmlns="http://schemas.openxmlformats.org/spreadsheetml/2006/main" count="137" uniqueCount="114">
  <si>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</si>
  <si>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</si>
  <si>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</si>
  <si>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</si>
  <si>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</si>
  <si>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</si>
  <si>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</si>
  <si>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</si>
  <si>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</si>
  <si>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</si>
  <si>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</si>
  <si>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</si>
  <si>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</si>
  <si>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</si>
  <si>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</si>
  <si>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</si>
  <si>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</si>
  <si>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</si>
  <si>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</si>
  <si>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</si>
  <si>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</si>
  <si>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</si>
  <si>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</si>
  <si>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</si>
  <si>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</si>
  <si>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</si>
  <si>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</si>
  <si>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</si>
  <si>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</si>
  <si>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</si>
  <si>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</si>
  <si>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</si>
  <si>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</si>
  <si>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</si>
  <si>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</si>
  <si>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</si>
  <si>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</si>
  <si>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</si>
  <si>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</si>
  <si>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</si>
  <si>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</si>
  <si>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</si>
  <si>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</si>
  <si>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</si>
  <si>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</si>
  <si>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</si>
  <si>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MdXX_Stat_Md1_Stat</t>
  </si>
  <si>
    <t>MdXX_Stat_Md10_Stat</t>
  </si>
  <si>
    <t>MdXX_Stat_Md11_Stat</t>
  </si>
  <si>
    <t>MdXX_Stat_Md12_Stat</t>
  </si>
  <si>
    <t>MdXX_Stat_Md13_Stat</t>
  </si>
  <si>
    <t>MdXX_Stat_Md14_Stat</t>
  </si>
  <si>
    <t>MdXX_Stat_Md15_Stat</t>
  </si>
  <si>
    <t>MdXX_Stat_Md16_Stat</t>
  </si>
  <si>
    <t>MdXX_Stat_Md17_Stat</t>
  </si>
  <si>
    <t>MdXX_Stat_Md18_Stat</t>
  </si>
  <si>
    <t>MdXX_Stat_Md19_Stat</t>
  </si>
  <si>
    <t>MdXX_Stat_Md2_Stat</t>
  </si>
  <si>
    <t>MdXX_Stat_Md20_Stat</t>
  </si>
  <si>
    <t>MdXX_Stat_Md21_Stat</t>
  </si>
  <si>
    <t>MdXX_Stat_Md22_Stat</t>
  </si>
  <si>
    <t>MdXX_Stat_Md23_Stat</t>
  </si>
  <si>
    <t>MdXX_Stat_Md24_Stat</t>
  </si>
  <si>
    <t>MdXX_Stat_Md25_Stat</t>
  </si>
  <si>
    <t>MdXX_Stat_Md26_Stat</t>
  </si>
  <si>
    <t>MdXX_Stat_Md27_Stat</t>
  </si>
  <si>
    <t>MdXX_Stat_Md28_Stat</t>
  </si>
  <si>
    <t>MdXX_Stat_Md29_Stat</t>
  </si>
  <si>
    <t>MdXX_Stat_Md3_Stat</t>
  </si>
  <si>
    <t>MdXX_Stat_Md30_Stat</t>
  </si>
  <si>
    <t>MdXX_Stat_Md31_Stat</t>
  </si>
  <si>
    <t>MdXX_Stat_Md32_Stat</t>
  </si>
  <si>
    <t>MdXX_Stat_Md4_Stat</t>
  </si>
  <si>
    <t>MdXX_Stat_Md5_Stat</t>
  </si>
  <si>
    <t>MdXX_Stat_Md6_Stat</t>
  </si>
  <si>
    <t>MdXX_Stat_Md7_Stat</t>
  </si>
  <si>
    <t>MdXX_Stat_Md8_Stat</t>
  </si>
  <si>
    <t>MdXX_Stat_Md9_Stat</t>
  </si>
  <si>
    <t>PosArray_Val(1)</t>
  </si>
  <si>
    <t>PosArray_Val(2)</t>
  </si>
  <si>
    <t>PosArray_Val(3)</t>
  </si>
  <si>
    <t>PosArray_Val(4)</t>
  </si>
  <si>
    <t>PosArray_Val(5)</t>
  </si>
  <si>
    <t>PosArray_Val(6)</t>
  </si>
  <si>
    <t>PosArray_Val(7)</t>
  </si>
  <si>
    <t>PosArray_Val(8)</t>
  </si>
  <si>
    <t>PosArray_Val(9)</t>
  </si>
  <si>
    <t>PosArray_Val(10)</t>
  </si>
  <si>
    <t>PosArray_Val(11)</t>
  </si>
  <si>
    <t>IfVeSMSuSRSCrt_MdSw1_Stat_Val</t>
  </si>
  <si>
    <t>IfVeSMSuSRSCrt_MdSw10_Stat_Val</t>
  </si>
  <si>
    <t>IfVeSMSuSRSCrt_MdSw2_Stat_Val</t>
  </si>
  <si>
    <t>IfVeSMSuSRSCrt_MdSw3_Stat_Val</t>
  </si>
  <si>
    <t>IfVeSMSuSRSCrt_MdSw4_Stat_Val</t>
  </si>
  <si>
    <t>IfVeSMSuSRSCrt_MdSw5_Stat_Val</t>
  </si>
  <si>
    <t>IfVeSMSuSRSCrt_MdSw6_Stat_Val</t>
  </si>
  <si>
    <t>IfVeSMSuSRSCrt_MdSw7_Stat_Val</t>
  </si>
  <si>
    <t>IfVeSMSuSRSCrt_MdSw8_Stat_Val</t>
  </si>
  <si>
    <t>IfVeSMSuSRSCrt_MdSw9_Stat_Val</t>
  </si>
  <si>
    <t>IfVeSMSuSRSCrtMdIndTyp_67_2_Val</t>
  </si>
  <si>
    <t>KeSMSbSRSPosNumConfig_Val</t>
  </si>
  <si>
    <t>uint8</t>
  </si>
  <si>
    <t>SRSCrt_MdSwXX_Stat-0010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</si>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</sst>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8" x14ac:dyDescent="0.3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3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4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9" sqref="A9"/>
    </sheetView>
  </sheetViews>
  <sheetFormatPr defaultColWidth="9.1796875" defaultRowHeight="16" customHeight="1" x14ac:dyDescent="0.25"/>
  <cols>
    <col min="1" max="1" width="23.26953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103</v>
      </c>
      <c r="B1" s="54" t="s">
        <v>104</v>
      </c>
      <c r="C1" s="54" t="s">
        <v>105</v>
      </c>
      <c r="D1" s="54" t="s">
        <v>106</v>
      </c>
      <c r="E1" s="54" t="s">
        <v>107</v>
      </c>
      <c r="F1" s="54" t="s">
        <v>108</v>
      </c>
      <c r="G1" s="54" t="s">
        <v>109</v>
      </c>
      <c r="H1" s="54" t="s">
        <v>110</v>
      </c>
      <c r="I1" s="54" t="s">
        <v>111</v>
      </c>
    </row>
    <row r="2" spans="1:9" ht="16" customHeight="1" x14ac:dyDescent="0.25">
      <c r="A2" s="3" t="s">
        <v>102</v>
      </c>
      <c r="E2" s="55" t="s">
        <v>112</v>
      </c>
    </row>
  </sheetData>
  <phoneticPr fontId="19" type="noConversion"/>
  <conditionalFormatting sqref="E1:F1048576">
    <cfRule type="cellIs" dxfId="32" priority="1" operator="equal">
      <formula>"Fail"</formula>
    </cfRule>
    <cfRule type="cellIs" dxfId="3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27.54296875" style="55" bestFit="1" customWidth="1"/>
    <col min="2" max="2" width="12.453125" style="58" bestFit="1" customWidth="1"/>
    <col min="3" max="3" width="6.26953125" style="59" bestFit="1" customWidth="1"/>
    <col min="4" max="4" width="9.26953125" style="59" bestFit="1" customWidth="1"/>
    <col min="5" max="6" width="4.26953125" style="59" bestFit="1" customWidth="1"/>
    <col min="7" max="7" width="8.26953125" style="59" bestFit="1" customWidth="1"/>
    <col min="8" max="16384" width="9.1796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6" customHeight="1" x14ac:dyDescent="0.25">
      <c r="A2" s="55" t="s">
        <v>100</v>
      </c>
      <c r="D2" s="59" t="s">
        <v>101</v>
      </c>
      <c r="G2" s="59">
        <v>4</v>
      </c>
    </row>
  </sheetData>
  <phoneticPr fontId="19" type="noConversion"/>
  <conditionalFormatting sqref="H1:XET1">
    <cfRule type="cellIs" dxfId="30" priority="1" operator="notEqual">
      <formula>#REF!</formula>
    </cfRule>
  </conditionalFormatting>
  <conditionalFormatting sqref="XEU1:XFD1">
    <cfRule type="cellIs" dxfId="2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13"/>
  <sheetViews>
    <sheetView tabSelected="1" zoomScaleNormal="100" workbookViewId="0">
      <pane xSplit="4" ySplit="4" topLeftCell="AQ5" activePane="bottomRight" state="frozen"/>
      <selection pane="topRight"/>
      <selection pane="bottomLeft"/>
      <selection pane="bottomRight" activeCell="AU18" sqref="AU18"/>
    </sheetView>
  </sheetViews>
  <sheetFormatPr defaultColWidth="9" defaultRowHeight="14" x14ac:dyDescent="0.25"/>
  <cols>
    <col min="1" max="1" width="23.26953125" bestFit="1" customWidth="1"/>
    <col min="3" max="3" width="11" customWidth="1"/>
    <col min="4" max="4" width="10.453125" customWidth="1"/>
    <col min="5" max="5" width="10.453125" bestFit="1" customWidth="1"/>
    <col min="14" max="14" width="6.81640625" customWidth="1"/>
    <col min="15" max="15" width="9" customWidth="1"/>
    <col min="16" max="16" width="15.453125" bestFit="1" customWidth="1"/>
    <col min="19" max="19" width="10.453125" customWidth="1"/>
    <col min="20" max="20" width="42.453125" customWidth="1"/>
    <col min="21" max="21" width="13.453125" customWidth="1"/>
    <col min="37" max="38" width="13.36328125" bestFit="1" customWidth="1"/>
  </cols>
  <sheetData>
    <row r="1" spans="1:65" x14ac:dyDescent="0.25">
      <c r="A1" s="1" t="s">
        <v>34</v>
      </c>
      <c r="B1" s="1"/>
      <c r="C1" s="1"/>
      <c r="D1" s="1"/>
      <c r="E1" s="1"/>
      <c r="N1" s="1"/>
    </row>
    <row r="2" spans="1:65" ht="13.5" customHeight="1" x14ac:dyDescent="0.25">
      <c r="A2" s="83" t="s">
        <v>32</v>
      </c>
      <c r="B2" s="84"/>
      <c r="C2" s="89" t="s">
        <v>33</v>
      </c>
      <c r="D2" s="90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0" t="s">
        <v>42</v>
      </c>
      <c r="AV2" s="61" t="s">
        <v>43</v>
      </c>
      <c r="AW2" s="61" t="s">
        <v>43</v>
      </c>
      <c r="AX2" s="61"/>
      <c r="AY2" s="61"/>
      <c r="AZ2" s="61"/>
      <c r="BA2" s="61"/>
      <c r="BB2" s="61"/>
      <c r="BC2" s="61"/>
      <c r="BD2" s="61"/>
      <c r="BE2" s="61"/>
      <c r="BF2" s="61"/>
      <c r="BG2" s="61"/>
    </row>
    <row r="3" spans="1:65" x14ac:dyDescent="0.25">
      <c r="A3" s="93" t="s">
        <v>13</v>
      </c>
      <c r="B3" s="93" t="s">
        <v>14</v>
      </c>
      <c r="C3" s="95" t="s">
        <v>15</v>
      </c>
      <c r="D3" s="96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62" t="s">
        <v>16</v>
      </c>
      <c r="AV3" s="87" t="s">
        <v>17</v>
      </c>
      <c r="AW3" s="91" t="s">
        <v>18</v>
      </c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3" t="s">
        <v>19</v>
      </c>
      <c r="BI3" s="101" t="s">
        <v>20</v>
      </c>
      <c r="BJ3" s="99" t="s">
        <v>21</v>
      </c>
      <c r="BK3" s="99" t="s">
        <v>3</v>
      </c>
      <c r="BL3" s="101" t="s">
        <v>22</v>
      </c>
      <c r="BM3" s="101" t="s">
        <v>23</v>
      </c>
    </row>
    <row r="4" spans="1:65" ht="14.5" thickBot="1" x14ac:dyDescent="0.3">
      <c r="A4" s="94"/>
      <c r="B4" s="94"/>
      <c r="C4" s="97"/>
      <c r="D4" s="98"/>
      <c r="E4" s="72" t="s">
        <v>46</v>
      </c>
      <c r="F4" s="72" t="s">
        <v>57</v>
      </c>
      <c r="G4" s="72" t="s">
        <v>68</v>
      </c>
      <c r="H4" s="72" t="s">
        <v>72</v>
      </c>
      <c r="I4" s="72" t="s">
        <v>73</v>
      </c>
      <c r="J4" s="72" t="s">
        <v>74</v>
      </c>
      <c r="K4" s="72" t="s">
        <v>75</v>
      </c>
      <c r="L4" s="72" t="s">
        <v>76</v>
      </c>
      <c r="M4" s="72" t="s">
        <v>77</v>
      </c>
      <c r="N4" s="72" t="s">
        <v>47</v>
      </c>
      <c r="O4" s="72" t="s">
        <v>48</v>
      </c>
      <c r="P4" s="72" t="s">
        <v>49</v>
      </c>
      <c r="Q4" s="72" t="s">
        <v>50</v>
      </c>
      <c r="R4" s="72" t="s">
        <v>51</v>
      </c>
      <c r="S4" s="72" t="s">
        <v>52</v>
      </c>
      <c r="T4" s="72" t="s">
        <v>53</v>
      </c>
      <c r="U4" s="72" t="s">
        <v>54</v>
      </c>
      <c r="V4" s="72" t="s">
        <v>55</v>
      </c>
      <c r="W4" s="72" t="s">
        <v>56</v>
      </c>
      <c r="X4" s="72" t="s">
        <v>58</v>
      </c>
      <c r="Y4" s="72" t="s">
        <v>59</v>
      </c>
      <c r="Z4" s="72" t="s">
        <v>60</v>
      </c>
      <c r="AA4" s="72" t="s">
        <v>61</v>
      </c>
      <c r="AB4" s="72" t="s">
        <v>62</v>
      </c>
      <c r="AC4" s="72" t="s">
        <v>63</v>
      </c>
      <c r="AD4" s="72" t="s">
        <v>64</v>
      </c>
      <c r="AE4" s="72" t="s">
        <v>65</v>
      </c>
      <c r="AF4" s="72" t="s">
        <v>66</v>
      </c>
      <c r="AG4" s="72" t="s">
        <v>67</v>
      </c>
      <c r="AH4" s="72" t="s">
        <v>69</v>
      </c>
      <c r="AI4" s="72" t="s">
        <v>70</v>
      </c>
      <c r="AJ4" s="72" t="s">
        <v>71</v>
      </c>
      <c r="AK4" s="72" t="s">
        <v>78</v>
      </c>
      <c r="AL4" s="72" t="s">
        <v>79</v>
      </c>
      <c r="AM4" s="72" t="s">
        <v>80</v>
      </c>
      <c r="AN4" s="72" t="s">
        <v>81</v>
      </c>
      <c r="AO4" s="72" t="s">
        <v>82</v>
      </c>
      <c r="AP4" s="72" t="s">
        <v>83</v>
      </c>
      <c r="AQ4" s="72" t="s">
        <v>84</v>
      </c>
      <c r="AR4" s="72" t="s">
        <v>85</v>
      </c>
      <c r="AS4" s="72" t="s">
        <v>86</v>
      </c>
      <c r="AT4" s="72" t="s">
        <v>87</v>
      </c>
      <c r="AU4" s="2" t="s">
        <v>88</v>
      </c>
      <c r="AV4" s="88"/>
      <c r="AW4" s="92"/>
      <c r="AX4" s="64" t="s">
        <v>89</v>
      </c>
      <c r="AY4" s="64" t="s">
        <v>91</v>
      </c>
      <c r="AZ4" s="64" t="s">
        <v>92</v>
      </c>
      <c r="BA4" s="64" t="s">
        <v>93</v>
      </c>
      <c r="BB4" s="64" t="s">
        <v>94</v>
      </c>
      <c r="BC4" s="64" t="s">
        <v>95</v>
      </c>
      <c r="BD4" s="64" t="s">
        <v>96</v>
      </c>
      <c r="BE4" s="64" t="s">
        <v>97</v>
      </c>
      <c r="BF4" s="64" t="s">
        <v>98</v>
      </c>
      <c r="BG4" s="64" t="s">
        <v>90</v>
      </c>
      <c r="BH4" s="8" t="s">
        <v>99</v>
      </c>
      <c r="BI4" s="102"/>
      <c r="BJ4" s="100"/>
      <c r="BK4" s="100"/>
      <c r="BL4" s="102"/>
      <c r="BM4" s="99"/>
    </row>
    <row r="5" spans="1:65" ht="14.25" customHeight="1" thickTop="1" x14ac:dyDescent="0.25">
      <c r="A5" s="3" t="s">
        <v>102</v>
      </c>
      <c r="B5" s="4"/>
      <c r="C5" s="85" t="s">
        <v>24</v>
      </c>
      <c r="D5" s="86"/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12</v>
      </c>
      <c r="R5" s="67">
        <v>14</v>
      </c>
      <c r="S5" s="67">
        <v>15</v>
      </c>
      <c r="T5" s="67">
        <v>16</v>
      </c>
      <c r="U5" s="67">
        <v>17</v>
      </c>
      <c r="V5" s="67">
        <v>18</v>
      </c>
      <c r="W5" s="67">
        <v>19</v>
      </c>
      <c r="X5" s="67">
        <v>20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67">
        <v>0</v>
      </c>
      <c r="AG5" s="67">
        <v>0</v>
      </c>
      <c r="AH5" s="67">
        <v>0</v>
      </c>
      <c r="AI5" s="67">
        <v>0</v>
      </c>
      <c r="AJ5" s="67">
        <v>0</v>
      </c>
      <c r="AK5" s="67">
        <v>0</v>
      </c>
      <c r="AL5" s="67">
        <v>1</v>
      </c>
      <c r="AM5" s="67">
        <v>2</v>
      </c>
      <c r="AN5" s="67">
        <v>3</v>
      </c>
      <c r="AO5" s="67">
        <v>4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5">
        <v>0</v>
      </c>
      <c r="AV5" s="9">
        <v>0</v>
      </c>
      <c r="AW5" s="9">
        <v>0</v>
      </c>
      <c r="AX5" s="9">
        <v>1</v>
      </c>
      <c r="AY5" s="9">
        <v>2</v>
      </c>
      <c r="AZ5" s="9">
        <v>3</v>
      </c>
      <c r="BA5" s="9">
        <v>4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10">
        <v>3</v>
      </c>
      <c r="BI5" s="9" t="s">
        <v>113</v>
      </c>
      <c r="BJ5" s="9"/>
      <c r="BK5" s="13"/>
      <c r="BL5" s="9"/>
      <c r="BM5" s="103"/>
    </row>
    <row r="6" spans="1:65" ht="15.65" customHeight="1" x14ac:dyDescent="0.25">
      <c r="A6" s="3" t="s">
        <v>102</v>
      </c>
      <c r="B6" s="6" t="s">
        <v>25</v>
      </c>
      <c r="C6" s="105"/>
      <c r="D6" s="106"/>
      <c r="E6" s="73">
        <v>1</v>
      </c>
      <c r="F6" s="73">
        <v>2</v>
      </c>
      <c r="G6" s="73">
        <v>3</v>
      </c>
      <c r="H6" s="73">
        <v>4</v>
      </c>
      <c r="I6" s="73">
        <v>5</v>
      </c>
      <c r="J6" s="73">
        <v>6</v>
      </c>
      <c r="K6" s="73">
        <v>7</v>
      </c>
      <c r="L6" s="73">
        <v>8</v>
      </c>
      <c r="M6" s="73">
        <v>9</v>
      </c>
      <c r="N6" s="73">
        <v>10</v>
      </c>
      <c r="O6" s="73">
        <v>11</v>
      </c>
      <c r="P6" s="73">
        <v>12</v>
      </c>
      <c r="Q6" s="73">
        <v>12</v>
      </c>
      <c r="R6" s="73">
        <v>14</v>
      </c>
      <c r="S6" s="73">
        <v>15</v>
      </c>
      <c r="T6" s="73">
        <v>16</v>
      </c>
      <c r="U6" s="73">
        <v>17</v>
      </c>
      <c r="V6" s="73">
        <v>18</v>
      </c>
      <c r="W6" s="73">
        <v>19</v>
      </c>
      <c r="X6" s="73">
        <v>20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0</v>
      </c>
      <c r="AG6" s="68">
        <v>0</v>
      </c>
      <c r="AH6" s="68">
        <v>0</v>
      </c>
      <c r="AI6" s="68">
        <v>0</v>
      </c>
      <c r="AJ6" s="68">
        <v>0</v>
      </c>
      <c r="AK6" s="68">
        <v>0</v>
      </c>
      <c r="AL6" s="68">
        <v>1</v>
      </c>
      <c r="AM6" s="68">
        <v>2</v>
      </c>
      <c r="AN6" s="68">
        <v>3</v>
      </c>
      <c r="AO6" s="68">
        <v>4</v>
      </c>
      <c r="AP6" s="68">
        <v>0</v>
      </c>
      <c r="AQ6" s="68">
        <v>0</v>
      </c>
      <c r="AR6" s="68">
        <v>0</v>
      </c>
      <c r="AS6" s="68">
        <v>0</v>
      </c>
      <c r="AT6" s="68">
        <v>0</v>
      </c>
      <c r="AU6" s="7">
        <v>0</v>
      </c>
      <c r="AV6" s="12">
        <v>0.01</v>
      </c>
      <c r="AW6" s="12">
        <v>0.01</v>
      </c>
      <c r="AX6" s="70">
        <v>1</v>
      </c>
      <c r="AY6" s="70">
        <v>2</v>
      </c>
      <c r="AZ6" s="70">
        <v>3</v>
      </c>
      <c r="BA6" s="70">
        <v>4</v>
      </c>
      <c r="BB6" s="70">
        <v>0</v>
      </c>
      <c r="BC6" s="70">
        <v>0</v>
      </c>
      <c r="BD6" s="70">
        <v>0</v>
      </c>
      <c r="BE6" s="70">
        <v>0</v>
      </c>
      <c r="BF6" s="70">
        <v>0</v>
      </c>
      <c r="BG6" s="70">
        <v>0</v>
      </c>
      <c r="BH6" s="11">
        <v>3</v>
      </c>
      <c r="BI6" s="9" t="s">
        <v>113</v>
      </c>
      <c r="BJ6" s="12"/>
      <c r="BK6" s="14"/>
      <c r="BL6" s="53"/>
      <c r="BM6" s="104"/>
    </row>
    <row r="7" spans="1:65" ht="15.65" customHeight="1" x14ac:dyDescent="0.25">
      <c r="A7" s="3" t="s">
        <v>102</v>
      </c>
      <c r="B7" s="6" t="s">
        <v>25</v>
      </c>
      <c r="C7" s="105"/>
      <c r="D7" s="106"/>
      <c r="E7" s="73">
        <v>1</v>
      </c>
      <c r="F7" s="73">
        <v>2</v>
      </c>
      <c r="G7" s="73">
        <v>3</v>
      </c>
      <c r="H7" s="73">
        <v>4</v>
      </c>
      <c r="I7" s="73">
        <v>5</v>
      </c>
      <c r="J7" s="73">
        <v>6</v>
      </c>
      <c r="K7" s="73">
        <v>7</v>
      </c>
      <c r="L7" s="73">
        <v>8</v>
      </c>
      <c r="M7" s="73">
        <v>9</v>
      </c>
      <c r="N7" s="73">
        <v>10</v>
      </c>
      <c r="O7" s="73">
        <v>11</v>
      </c>
      <c r="P7" s="73">
        <v>12</v>
      </c>
      <c r="Q7" s="73">
        <v>12</v>
      </c>
      <c r="R7" s="73">
        <v>14</v>
      </c>
      <c r="S7" s="73">
        <v>15</v>
      </c>
      <c r="T7" s="73">
        <v>16</v>
      </c>
      <c r="U7" s="73">
        <v>17</v>
      </c>
      <c r="V7" s="73">
        <v>18</v>
      </c>
      <c r="W7" s="73">
        <v>19</v>
      </c>
      <c r="X7" s="73">
        <v>20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68">
        <v>0</v>
      </c>
      <c r="AK7" s="68">
        <v>0</v>
      </c>
      <c r="AL7" s="68">
        <v>5</v>
      </c>
      <c r="AM7" s="68">
        <v>6</v>
      </c>
      <c r="AN7" s="68">
        <v>7</v>
      </c>
      <c r="AO7" s="68">
        <v>8</v>
      </c>
      <c r="AP7" s="68">
        <v>0</v>
      </c>
      <c r="AQ7" s="68">
        <v>0</v>
      </c>
      <c r="AR7" s="68">
        <v>0</v>
      </c>
      <c r="AS7" s="68">
        <v>0</v>
      </c>
      <c r="AT7" s="68">
        <v>0</v>
      </c>
      <c r="AU7" s="7">
        <v>0</v>
      </c>
      <c r="AV7" s="12">
        <v>0.02</v>
      </c>
      <c r="AW7" s="12">
        <v>0.02</v>
      </c>
      <c r="AX7" s="70">
        <v>5</v>
      </c>
      <c r="AY7" s="70">
        <v>6</v>
      </c>
      <c r="AZ7" s="70">
        <v>7</v>
      </c>
      <c r="BA7" s="70">
        <v>8</v>
      </c>
      <c r="BB7" s="70">
        <v>0</v>
      </c>
      <c r="BC7" s="70">
        <v>0</v>
      </c>
      <c r="BD7" s="70">
        <v>0</v>
      </c>
      <c r="BE7" s="70">
        <v>0</v>
      </c>
      <c r="BF7" s="70">
        <v>0</v>
      </c>
      <c r="BG7" s="70">
        <v>0</v>
      </c>
      <c r="BH7" s="11">
        <v>3</v>
      </c>
      <c r="BI7" s="9" t="s">
        <v>113</v>
      </c>
      <c r="BJ7" s="12"/>
      <c r="BK7" s="14"/>
      <c r="BL7" s="53"/>
      <c r="BM7" s="65"/>
    </row>
    <row r="8" spans="1:65" ht="15.65" customHeight="1" x14ac:dyDescent="0.25">
      <c r="A8" s="3" t="s">
        <v>102</v>
      </c>
      <c r="B8" s="6" t="s">
        <v>25</v>
      </c>
      <c r="C8" s="105"/>
      <c r="D8" s="106"/>
      <c r="E8" s="73">
        <v>1</v>
      </c>
      <c r="F8" s="73">
        <v>2</v>
      </c>
      <c r="G8" s="73">
        <v>3</v>
      </c>
      <c r="H8" s="73">
        <v>4</v>
      </c>
      <c r="I8" s="73">
        <v>5</v>
      </c>
      <c r="J8" s="73">
        <v>6</v>
      </c>
      <c r="K8" s="73">
        <v>7</v>
      </c>
      <c r="L8" s="73">
        <v>8</v>
      </c>
      <c r="M8" s="73">
        <v>9</v>
      </c>
      <c r="N8" s="73">
        <v>10</v>
      </c>
      <c r="O8" s="73">
        <v>11</v>
      </c>
      <c r="P8" s="73">
        <v>12</v>
      </c>
      <c r="Q8" s="73">
        <v>12</v>
      </c>
      <c r="R8" s="73">
        <v>14</v>
      </c>
      <c r="S8" s="73">
        <v>15</v>
      </c>
      <c r="T8" s="73">
        <v>16</v>
      </c>
      <c r="U8" s="73">
        <v>17</v>
      </c>
      <c r="V8" s="73">
        <v>18</v>
      </c>
      <c r="W8" s="73">
        <v>19</v>
      </c>
      <c r="X8" s="73">
        <v>20</v>
      </c>
      <c r="Y8" s="68">
        <v>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0</v>
      </c>
      <c r="AK8" s="68">
        <v>0</v>
      </c>
      <c r="AL8" s="68">
        <v>9</v>
      </c>
      <c r="AM8" s="68">
        <v>10</v>
      </c>
      <c r="AN8" s="68">
        <v>11</v>
      </c>
      <c r="AO8" s="68">
        <v>12</v>
      </c>
      <c r="AP8" s="68">
        <v>0</v>
      </c>
      <c r="AQ8" s="68">
        <v>0</v>
      </c>
      <c r="AR8" s="68">
        <v>0</v>
      </c>
      <c r="AS8" s="68">
        <v>0</v>
      </c>
      <c r="AT8" s="68">
        <v>0</v>
      </c>
      <c r="AU8" s="7">
        <v>0</v>
      </c>
      <c r="AV8" s="12">
        <v>0.03</v>
      </c>
      <c r="AW8" s="12">
        <v>0.03</v>
      </c>
      <c r="AX8" s="70">
        <v>9</v>
      </c>
      <c r="AY8" s="70">
        <v>10</v>
      </c>
      <c r="AZ8" s="70">
        <v>11</v>
      </c>
      <c r="BA8" s="70">
        <v>12</v>
      </c>
      <c r="BB8" s="70">
        <v>0</v>
      </c>
      <c r="BC8" s="70">
        <v>0</v>
      </c>
      <c r="BD8" s="70">
        <v>0</v>
      </c>
      <c r="BE8" s="70">
        <v>0</v>
      </c>
      <c r="BF8" s="70">
        <v>0</v>
      </c>
      <c r="BG8" s="70">
        <v>0</v>
      </c>
      <c r="BH8" s="11">
        <v>3</v>
      </c>
      <c r="BI8" s="9" t="s">
        <v>113</v>
      </c>
      <c r="BJ8" s="12"/>
      <c r="BK8" s="14"/>
      <c r="BL8" s="53"/>
      <c r="BM8" s="65"/>
    </row>
    <row r="9" spans="1:65" ht="15.65" customHeight="1" x14ac:dyDescent="0.25">
      <c r="A9" s="3" t="s">
        <v>102</v>
      </c>
      <c r="B9" s="6" t="s">
        <v>25</v>
      </c>
      <c r="C9" s="105"/>
      <c r="D9" s="106"/>
      <c r="E9" s="73">
        <v>1</v>
      </c>
      <c r="F9" s="73">
        <v>2</v>
      </c>
      <c r="G9" s="73">
        <v>3</v>
      </c>
      <c r="H9" s="73">
        <v>4</v>
      </c>
      <c r="I9" s="73">
        <v>5</v>
      </c>
      <c r="J9" s="73">
        <v>6</v>
      </c>
      <c r="K9" s="73">
        <v>7</v>
      </c>
      <c r="L9" s="73">
        <v>8</v>
      </c>
      <c r="M9" s="73">
        <v>9</v>
      </c>
      <c r="N9" s="73">
        <v>10</v>
      </c>
      <c r="O9" s="73">
        <v>11</v>
      </c>
      <c r="P9" s="73">
        <v>12</v>
      </c>
      <c r="Q9" s="73">
        <v>12</v>
      </c>
      <c r="R9" s="73">
        <v>14</v>
      </c>
      <c r="S9" s="73">
        <v>15</v>
      </c>
      <c r="T9" s="73">
        <v>16</v>
      </c>
      <c r="U9" s="73">
        <v>17</v>
      </c>
      <c r="V9" s="73">
        <v>18</v>
      </c>
      <c r="W9" s="73">
        <v>19</v>
      </c>
      <c r="X9" s="73">
        <v>20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13</v>
      </c>
      <c r="AM9" s="68">
        <v>14</v>
      </c>
      <c r="AN9" s="68">
        <v>15</v>
      </c>
      <c r="AO9" s="68">
        <v>16</v>
      </c>
      <c r="AP9" s="68">
        <v>0</v>
      </c>
      <c r="AQ9" s="68">
        <v>0</v>
      </c>
      <c r="AR9" s="68">
        <v>0</v>
      </c>
      <c r="AS9" s="68">
        <v>0</v>
      </c>
      <c r="AT9" s="68">
        <v>0</v>
      </c>
      <c r="AU9" s="7">
        <v>0</v>
      </c>
      <c r="AV9" s="12">
        <v>0.04</v>
      </c>
      <c r="AW9" s="12">
        <v>0.04</v>
      </c>
      <c r="AX9" s="70">
        <v>12</v>
      </c>
      <c r="AY9" s="70">
        <v>14</v>
      </c>
      <c r="AZ9" s="70">
        <v>15</v>
      </c>
      <c r="BA9" s="70">
        <v>16</v>
      </c>
      <c r="BB9" s="70">
        <v>0</v>
      </c>
      <c r="BC9" s="70">
        <v>0</v>
      </c>
      <c r="BD9" s="70">
        <v>0</v>
      </c>
      <c r="BE9" s="70">
        <v>0</v>
      </c>
      <c r="BF9" s="70">
        <v>0</v>
      </c>
      <c r="BG9" s="70">
        <v>0</v>
      </c>
      <c r="BH9" s="11">
        <v>3</v>
      </c>
      <c r="BI9" s="9" t="s">
        <v>113</v>
      </c>
      <c r="BJ9" s="12"/>
      <c r="BK9" s="14"/>
      <c r="BL9" s="53"/>
      <c r="BM9" s="65"/>
    </row>
    <row r="10" spans="1:65" ht="15.65" customHeight="1" x14ac:dyDescent="0.25">
      <c r="A10" s="3" t="s">
        <v>102</v>
      </c>
      <c r="B10" s="6" t="s">
        <v>25</v>
      </c>
      <c r="C10" s="105"/>
      <c r="D10" s="106"/>
      <c r="E10" s="73">
        <v>1</v>
      </c>
      <c r="F10" s="73">
        <v>2</v>
      </c>
      <c r="G10" s="73">
        <v>3</v>
      </c>
      <c r="H10" s="73">
        <v>4</v>
      </c>
      <c r="I10" s="73">
        <v>5</v>
      </c>
      <c r="J10" s="73">
        <v>6</v>
      </c>
      <c r="K10" s="73">
        <v>7</v>
      </c>
      <c r="L10" s="73">
        <v>8</v>
      </c>
      <c r="M10" s="73">
        <v>9</v>
      </c>
      <c r="N10" s="73">
        <v>10</v>
      </c>
      <c r="O10" s="73">
        <v>11</v>
      </c>
      <c r="P10" s="73">
        <v>12</v>
      </c>
      <c r="Q10" s="73">
        <v>12</v>
      </c>
      <c r="R10" s="73">
        <v>14</v>
      </c>
      <c r="S10" s="73">
        <v>15</v>
      </c>
      <c r="T10" s="73">
        <v>16</v>
      </c>
      <c r="U10" s="73">
        <v>17</v>
      </c>
      <c r="V10" s="73">
        <v>18</v>
      </c>
      <c r="W10" s="73">
        <v>19</v>
      </c>
      <c r="X10" s="73">
        <v>20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  <c r="AJ10" s="68">
        <v>0</v>
      </c>
      <c r="AK10" s="68">
        <v>0</v>
      </c>
      <c r="AL10" s="68">
        <v>17</v>
      </c>
      <c r="AM10" s="68">
        <v>18</v>
      </c>
      <c r="AN10" s="68">
        <v>19</v>
      </c>
      <c r="AO10" s="68">
        <v>20</v>
      </c>
      <c r="AP10" s="68">
        <v>0</v>
      </c>
      <c r="AQ10" s="68">
        <v>0</v>
      </c>
      <c r="AR10" s="68">
        <v>0</v>
      </c>
      <c r="AS10" s="68">
        <v>0</v>
      </c>
      <c r="AT10" s="68">
        <v>0</v>
      </c>
      <c r="AU10" s="7">
        <v>0</v>
      </c>
      <c r="AV10" s="12">
        <v>0.05</v>
      </c>
      <c r="AW10" s="12">
        <v>0.05</v>
      </c>
      <c r="AX10" s="70">
        <v>17</v>
      </c>
      <c r="AY10" s="70">
        <v>18</v>
      </c>
      <c r="AZ10" s="70">
        <v>19</v>
      </c>
      <c r="BA10" s="70">
        <v>20</v>
      </c>
      <c r="BB10" s="70">
        <v>0</v>
      </c>
      <c r="BC10" s="70">
        <v>0</v>
      </c>
      <c r="BD10" s="70">
        <v>0</v>
      </c>
      <c r="BE10" s="70">
        <v>0</v>
      </c>
      <c r="BF10" s="70">
        <v>0</v>
      </c>
      <c r="BG10" s="70">
        <v>0</v>
      </c>
      <c r="BH10" s="11">
        <v>3</v>
      </c>
      <c r="BI10" s="9" t="s">
        <v>113</v>
      </c>
      <c r="BJ10" s="12"/>
      <c r="BK10" s="14"/>
      <c r="BL10" s="53"/>
      <c r="BM10" s="65"/>
    </row>
    <row r="11" spans="1:65" ht="15.65" customHeight="1" thickBot="1" x14ac:dyDescent="0.3">
      <c r="A11" s="3" t="s">
        <v>102</v>
      </c>
      <c r="B11" s="6" t="s">
        <v>25</v>
      </c>
      <c r="C11" s="105"/>
      <c r="D11" s="106"/>
      <c r="E11" s="73">
        <v>1</v>
      </c>
      <c r="F11" s="73">
        <v>2</v>
      </c>
      <c r="G11" s="73">
        <v>3</v>
      </c>
      <c r="H11" s="73">
        <v>4</v>
      </c>
      <c r="I11" s="73">
        <v>5</v>
      </c>
      <c r="J11" s="73">
        <v>6</v>
      </c>
      <c r="K11" s="73">
        <v>7</v>
      </c>
      <c r="L11" s="73">
        <v>8</v>
      </c>
      <c r="M11" s="73">
        <v>9</v>
      </c>
      <c r="N11" s="73">
        <v>10</v>
      </c>
      <c r="O11" s="73">
        <v>11</v>
      </c>
      <c r="P11" s="73">
        <v>12</v>
      </c>
      <c r="Q11" s="73">
        <v>12</v>
      </c>
      <c r="R11" s="73">
        <v>14</v>
      </c>
      <c r="S11" s="73">
        <v>15</v>
      </c>
      <c r="T11" s="73">
        <v>16</v>
      </c>
      <c r="U11" s="73">
        <v>17</v>
      </c>
      <c r="V11" s="73">
        <v>18</v>
      </c>
      <c r="W11" s="73">
        <v>19</v>
      </c>
      <c r="X11" s="73">
        <v>20</v>
      </c>
      <c r="Y11" s="68">
        <v>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68">
        <v>0</v>
      </c>
      <c r="AF11" s="68">
        <v>0</v>
      </c>
      <c r="AG11" s="68">
        <v>0</v>
      </c>
      <c r="AH11" s="68">
        <v>0</v>
      </c>
      <c r="AI11" s="68">
        <v>0</v>
      </c>
      <c r="AJ11" s="68">
        <v>0</v>
      </c>
      <c r="AK11" s="68">
        <v>0</v>
      </c>
      <c r="AL11" s="68">
        <v>0</v>
      </c>
      <c r="AM11" s="68">
        <v>0</v>
      </c>
      <c r="AN11" s="68">
        <v>0</v>
      </c>
      <c r="AO11" s="68">
        <v>0</v>
      </c>
      <c r="AP11" s="68">
        <v>0</v>
      </c>
      <c r="AQ11" s="68">
        <v>0</v>
      </c>
      <c r="AR11" s="68">
        <v>0</v>
      </c>
      <c r="AS11" s="68">
        <v>0</v>
      </c>
      <c r="AT11" s="68">
        <v>0</v>
      </c>
      <c r="AU11" s="7">
        <v>0</v>
      </c>
      <c r="AV11" s="12">
        <v>0.06</v>
      </c>
      <c r="AW11" s="12">
        <v>0.06</v>
      </c>
      <c r="AX11" s="70">
        <v>0</v>
      </c>
      <c r="AY11" s="70">
        <v>0</v>
      </c>
      <c r="AZ11" s="70">
        <v>0</v>
      </c>
      <c r="BA11" s="70">
        <v>0</v>
      </c>
      <c r="BB11" s="70">
        <v>0</v>
      </c>
      <c r="BC11" s="70">
        <v>0</v>
      </c>
      <c r="BD11" s="70">
        <v>0</v>
      </c>
      <c r="BE11" s="70">
        <v>0</v>
      </c>
      <c r="BF11" s="70">
        <v>0</v>
      </c>
      <c r="BG11" s="70">
        <v>0</v>
      </c>
      <c r="BH11" s="11">
        <v>3</v>
      </c>
      <c r="BI11" s="9" t="s">
        <v>113</v>
      </c>
      <c r="BJ11" s="12"/>
      <c r="BK11" s="14"/>
      <c r="BL11" s="53"/>
      <c r="BM11" s="74"/>
    </row>
    <row r="12" spans="1:65" ht="14.25" customHeight="1" thickTop="1" x14ac:dyDescent="0.25">
      <c r="A12" s="3" t="s">
        <v>44</v>
      </c>
      <c r="B12" s="4"/>
      <c r="C12" s="85" t="s">
        <v>24</v>
      </c>
      <c r="D12" s="86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5">
        <v>0</v>
      </c>
      <c r="AV12" s="9">
        <v>0</v>
      </c>
      <c r="AW12" s="9">
        <v>0</v>
      </c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10">
        <v>0</v>
      </c>
      <c r="BI12" s="9"/>
      <c r="BJ12" s="9"/>
      <c r="BK12" s="13"/>
      <c r="BL12" s="9"/>
      <c r="BM12" s="103"/>
    </row>
    <row r="13" spans="1:65" ht="15" customHeight="1" x14ac:dyDescent="0.25">
      <c r="A13" s="3" t="s">
        <v>45</v>
      </c>
      <c r="B13" s="6" t="s">
        <v>25</v>
      </c>
      <c r="C13" s="105"/>
      <c r="D13" s="106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7"/>
      <c r="AV13" s="12"/>
      <c r="AW13" s="12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11"/>
      <c r="BI13" s="9"/>
      <c r="BJ13" s="12"/>
      <c r="BK13" s="14"/>
      <c r="BL13" s="53"/>
      <c r="BM13" s="104"/>
    </row>
  </sheetData>
  <mergeCells count="23">
    <mergeCell ref="BK3:BK4"/>
    <mergeCell ref="BL3:BL4"/>
    <mergeCell ref="BM3:BM4"/>
    <mergeCell ref="BM5:BM6"/>
    <mergeCell ref="C12:D12"/>
    <mergeCell ref="BM12:BM13"/>
    <mergeCell ref="C13:D13"/>
    <mergeCell ref="C6:D6"/>
    <mergeCell ref="BI3:BI4"/>
    <mergeCell ref="BJ3:BJ4"/>
    <mergeCell ref="C7:D7"/>
    <mergeCell ref="C8:D8"/>
    <mergeCell ref="C9:D9"/>
    <mergeCell ref="C10:D10"/>
    <mergeCell ref="C11:D11"/>
    <mergeCell ref="A2:B2"/>
    <mergeCell ref="C5:D5"/>
    <mergeCell ref="AV3:AV4"/>
    <mergeCell ref="C2:D2"/>
    <mergeCell ref="AW3:AW4"/>
    <mergeCell ref="A3:A4"/>
    <mergeCell ref="B3:B4"/>
    <mergeCell ref="C3:D4"/>
  </mergeCells>
  <phoneticPr fontId="19" type="noConversion"/>
  <conditionalFormatting sqref="B5">
    <cfRule type="cellIs" dxfId="28" priority="242" stopIfTrue="1" operator="equal">
      <formula>"Pass"</formula>
    </cfRule>
    <cfRule type="cellIs" dxfId="27" priority="243" stopIfTrue="1" operator="equal">
      <formula>"Fail"</formula>
    </cfRule>
    <cfRule type="cellIs" dxfId="26" priority="244" stopIfTrue="1" operator="equal">
      <formula>"NotTest"</formula>
    </cfRule>
  </conditionalFormatting>
  <conditionalFormatting sqref="BI5:BK6">
    <cfRule type="cellIs" dxfId="25" priority="237" stopIfTrue="1" operator="equal">
      <formula>"PASS"</formula>
    </cfRule>
    <cfRule type="cellIs" dxfId="24" priority="238" stopIfTrue="1" operator="equal">
      <formula>"FAIL"</formula>
    </cfRule>
  </conditionalFormatting>
  <conditionalFormatting sqref="AU2 AX2:BG2">
    <cfRule type="cellIs" dxfId="23" priority="33" operator="notEqual">
      <formula>#REF!</formula>
    </cfRule>
  </conditionalFormatting>
  <conditionalFormatting sqref="AU2 AX2:BG2">
    <cfRule type="cellIs" dxfId="22" priority="31" operator="equal">
      <formula>"Pass"</formula>
    </cfRule>
    <cfRule type="cellIs" dxfId="21" priority="32" operator="equal">
      <formula>"Fail"</formula>
    </cfRule>
  </conditionalFormatting>
  <conditionalFormatting sqref="AV2">
    <cfRule type="cellIs" dxfId="20" priority="24" operator="notEqual">
      <formula>#REF!</formula>
    </cfRule>
  </conditionalFormatting>
  <conditionalFormatting sqref="AV2">
    <cfRule type="cellIs" dxfId="19" priority="22" operator="equal">
      <formula>"Pass"</formula>
    </cfRule>
    <cfRule type="cellIs" dxfId="18" priority="23" operator="equal">
      <formula>"Fail"</formula>
    </cfRule>
  </conditionalFormatting>
  <conditionalFormatting sqref="AW2">
    <cfRule type="cellIs" dxfId="17" priority="21" operator="notEqual">
      <formula>#REF!</formula>
    </cfRule>
  </conditionalFormatting>
  <conditionalFormatting sqref="AW2">
    <cfRule type="cellIs" dxfId="16" priority="19" operator="equal">
      <formula>"Pass"</formula>
    </cfRule>
    <cfRule type="cellIs" dxfId="15" priority="20" operator="equal">
      <formula>"Fail"</formula>
    </cfRule>
  </conditionalFormatting>
  <conditionalFormatting sqref="B12">
    <cfRule type="cellIs" dxfId="14" priority="16" stopIfTrue="1" operator="equal">
      <formula>"Pass"</formula>
    </cfRule>
    <cfRule type="cellIs" dxfId="13" priority="17" stopIfTrue="1" operator="equal">
      <formula>"Fail"</formula>
    </cfRule>
    <cfRule type="cellIs" dxfId="12" priority="18" stopIfTrue="1" operator="equal">
      <formula>"NotTest"</formula>
    </cfRule>
  </conditionalFormatting>
  <conditionalFormatting sqref="BI12:BK13">
    <cfRule type="cellIs" dxfId="11" priority="14" stopIfTrue="1" operator="equal">
      <formula>"PASS"</formula>
    </cfRule>
    <cfRule type="cellIs" dxfId="10" priority="15" stopIfTrue="1" operator="equal">
      <formula>"FAIL"</formula>
    </cfRule>
  </conditionalFormatting>
  <conditionalFormatting sqref="BI7:BK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BI8:BK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BI9:BK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BI10:BK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I11:BK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BI5:BI13">
      <formula1>"Pass,Fail,NotTest"</formula1>
    </dataValidation>
    <dataValidation type="list" showInputMessage="1" showErrorMessage="1" sqref="E2:A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2022-11-24T06:34:05Z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