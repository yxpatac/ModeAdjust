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grstCls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LgrstClsStEnCtrl" sheetId="1" r:id="rId5"/>
  </sheets>
  <definedNames>
    <definedName name="_xlnm._FilterDatabase" localSheetId="4" hidden="1">LgrstClsStEnCtrl!$A$1:$A$6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P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O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P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S3" authorId="3" shapeId="0">
      <text>
        <r>
          <rPr>
            <sz val="9"/>
            <rFont val="宋体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<sst xmlns="http://schemas.openxmlformats.org/spreadsheetml/2006/main" count="105" uniqueCount="76">
  <si>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</si>
  <si>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</si>
  <si>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</si>
  <si>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</si>
  <si>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</si>
  <si>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</si>
  <si>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</si>
  <si>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</si>
  <si>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</si>
  <si>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</si>
  <si>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</si>
  <si>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</si>
  <si>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</si>
  <si>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</si>
  <si>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</si>
  <si>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</si>
  <si>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</si>
  <si>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</si>
  <si>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</si>
  <si>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</si>
  <si>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</si>
  <si>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</si>
  <si>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</si>
  <si>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</si>
  <si>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</si>
  <si>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</si>
  <si>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</si>
  <si>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</si>
  <si>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</si>
  <si>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</si>
  <si>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</si>
  <si>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</si>
  <si>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</si>
  <si>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</si>
  <si>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</si>
  <si>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</si>
  <si>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</si>
  <si>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</si>
  <si>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</si>
  <si>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</si>
  <si>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</si>
  <si>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</si>
  <si>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</si>
  <si>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</si>
  <si>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</si>
  <si>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</si>
  <si>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</si>
  <si>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</si>
  <si>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</si>
  <si>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</si>
  <si>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</si>
  <si>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</si>
  <si>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</si>
  <si>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</si>
  <si>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MdXXIsTargetPosZone_Val</t>
  </si>
  <si>
    <t>SecRwLtStFtrstStgDone_Val</t>
  </si>
  <si>
    <t>SecRwLtStLgrstOtwdInwdStgDone_Val</t>
  </si>
  <si>
    <t>SecRwLtStLgrstUpwdStgDone_Val</t>
  </si>
  <si>
    <t>IfVeSMSuRrLtStFtUpwdDnwdPos_Val</t>
  </si>
  <si>
    <t>IfVeSMSuSecRwLtStLgrstOtwdInwdPos_Val</t>
  </si>
  <si>
    <t>IfVeSMSuSecRwLtStLgrstUpwdDnwdPos_Val</t>
  </si>
  <si>
    <t>LgrstClsLMdDone_Val</t>
    <phoneticPr fontId="19" type="noConversion"/>
  </si>
  <si>
    <t>KeSMSw4SSecRwLtStLgrstOtwdInwdClosePos1_Val</t>
  </si>
  <si>
    <t>uint16</t>
  </si>
  <si>
    <t>KeSMSw4SSecRwLtStLgrstUpwdDnwdClosePos1_Val</t>
  </si>
  <si>
    <t>KeSMSw4SSecRwLtStLgrstUpwdDnwdClosePos2_Val</t>
  </si>
  <si>
    <t>LgrstClsStEnCtrl-0010</t>
    <phoneticPr fontId="19" type="noConversion"/>
  </si>
  <si>
    <t>FailflgIn</t>
  </si>
  <si>
    <t>LgrstInwdOtwdEnIn</t>
  </si>
  <si>
    <t>LgrstUpwdDnwdEnIn</t>
  </si>
  <si>
    <t>FtrstEnIn</t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</si>
  <si>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</si>
  <si>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</si>
  <si>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</si>
  <si>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FailFlg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</si>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</sst>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9" sqref="B9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66</v>
      </c>
      <c r="E2" s="55" t="s">
        <v>75</v>
      </c>
    </row>
  </sheetData>
  <phoneticPr fontId="19" type="noConversion"/>
  <conditionalFormatting sqref="E1:F1048576">
    <cfRule type="cellIs" dxfId="32" priority="1" operator="equal">
      <formula>"Fail"</formula>
    </cfRule>
    <cfRule type="cellIs" dxfId="3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0</v>
      </c>
    </row>
    <row r="3" spans="1:7" ht="15.9" customHeight="1" x14ac:dyDescent="0.25">
      <c r="A3" s="55" t="s">
        <v>64</v>
      </c>
      <c r="D3" s="59" t="s">
        <v>63</v>
      </c>
      <c r="G3" s="59">
        <v>0</v>
      </c>
    </row>
    <row r="4" spans="1:7" ht="15.9" customHeight="1" x14ac:dyDescent="0.25">
      <c r="A4" s="55" t="s">
        <v>65</v>
      </c>
      <c r="D4" s="59" t="s">
        <v>63</v>
      </c>
      <c r="G4" s="59">
        <v>0</v>
      </c>
    </row>
  </sheetData>
  <phoneticPr fontId="19" type="noConversion"/>
  <conditionalFormatting sqref="H1:XET1">
    <cfRule type="cellIs" dxfId="30" priority="1" operator="notEqual">
      <formula>#REF!</formula>
    </cfRule>
  </conditionalFormatting>
  <conditionalFormatting sqref="XEU1:XFD1">
    <cfRule type="cellIs" dxfId="2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3"/>
  <sheetViews>
    <sheetView tabSelected="1" zoomScaleNormal="100" workbookViewId="0">
      <pane xSplit="4" ySplit="4" topLeftCell="J5" activePane="bottomRight" state="frozen"/>
      <selection pane="topRight"/>
      <selection pane="bottomLeft"/>
      <selection pane="bottomRight" activeCell="L18" sqref="L18"/>
    </sheetView>
  </sheetViews>
  <sheetFormatPr defaultColWidth="9" defaultRowHeight="14.4" x14ac:dyDescent="0.25"/>
  <cols>
    <col min="1" max="1" width="18.44140625" bestFit="1" customWidth="1"/>
    <col min="3" max="3" width="11" customWidth="1"/>
    <col min="4" max="4" width="10.44140625" customWidth="1"/>
    <col min="5" max="5" width="22" bestFit="1" customWidth="1"/>
    <col min="6" max="6" width="23.5546875" bestFit="1" customWidth="1"/>
    <col min="7" max="7" width="31.77734375" bestFit="1" customWidth="1"/>
    <col min="8" max="12" width="28.44140625" bestFit="1" customWidth="1"/>
    <col min="13" max="13" width="30.6640625" bestFit="1" customWidth="1"/>
    <col min="14" max="14" width="35.77734375" bestFit="1" customWidth="1"/>
    <col min="15" max="15" width="37" bestFit="1" customWidth="1"/>
    <col min="16" max="17" width="8.5546875" bestFit="1" customWidth="1"/>
    <col min="18" max="18" width="18.21875" bestFit="1" customWidth="1"/>
  </cols>
  <sheetData>
    <row r="1" spans="1:23" x14ac:dyDescent="0.2">
      <c r="A1" s="1" t="s">
        <v>34</v>
      </c>
      <c r="B1" s="1"/>
      <c r="C1" s="1"/>
      <c r="D1" s="1"/>
      <c r="E1" s="1"/>
      <c r="F1" s="1"/>
    </row>
    <row r="2" spans="1:23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5"/>
      <c r="H2" s="65"/>
      <c r="I2" s="65"/>
      <c r="J2" s="65"/>
      <c r="K2" s="65"/>
      <c r="L2" s="65"/>
      <c r="M2" s="65"/>
      <c r="N2" s="65"/>
      <c r="O2" s="60" t="s">
        <v>49</v>
      </c>
      <c r="P2" s="61" t="s">
        <v>50</v>
      </c>
      <c r="Q2" s="61" t="s">
        <v>50</v>
      </c>
    </row>
    <row r="3" spans="1:23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8"/>
      <c r="H3" s="68"/>
      <c r="I3" s="68"/>
      <c r="J3" s="68"/>
      <c r="K3" s="68"/>
      <c r="L3" s="68"/>
      <c r="M3" s="68"/>
      <c r="N3" s="68"/>
      <c r="O3" s="62" t="s">
        <v>16</v>
      </c>
      <c r="P3" s="90" t="s">
        <v>17</v>
      </c>
      <c r="Q3" s="94" t="s">
        <v>18</v>
      </c>
      <c r="R3" s="63" t="s">
        <v>19</v>
      </c>
      <c r="S3" s="80" t="s">
        <v>20</v>
      </c>
      <c r="T3" s="78" t="s">
        <v>21</v>
      </c>
      <c r="U3" s="78" t="s">
        <v>3</v>
      </c>
      <c r="V3" s="80" t="s">
        <v>22</v>
      </c>
      <c r="W3" s="80" t="s">
        <v>23</v>
      </c>
    </row>
    <row r="4" spans="1:23" ht="15" thickBot="1" x14ac:dyDescent="0.25">
      <c r="A4" s="97"/>
      <c r="B4" s="97"/>
      <c r="C4" s="100"/>
      <c r="D4" s="101"/>
      <c r="E4" s="69" t="s">
        <v>54</v>
      </c>
      <c r="F4" s="69" t="s">
        <v>55</v>
      </c>
      <c r="G4" s="69" t="s">
        <v>56</v>
      </c>
      <c r="H4" s="69" t="s">
        <v>57</v>
      </c>
      <c r="I4" s="69" t="s">
        <v>67</v>
      </c>
      <c r="J4" s="69" t="s">
        <v>68</v>
      </c>
      <c r="K4" s="69" t="s">
        <v>69</v>
      </c>
      <c r="L4" s="69" t="s">
        <v>70</v>
      </c>
      <c r="M4" s="69" t="s">
        <v>58</v>
      </c>
      <c r="N4" s="69" t="s">
        <v>59</v>
      </c>
      <c r="O4" s="2" t="s">
        <v>60</v>
      </c>
      <c r="P4" s="91"/>
      <c r="Q4" s="95"/>
      <c r="R4" s="8" t="s">
        <v>61</v>
      </c>
      <c r="S4" s="81"/>
      <c r="T4" s="79"/>
      <c r="U4" s="79"/>
      <c r="V4" s="81"/>
      <c r="W4" s="78"/>
    </row>
    <row r="5" spans="1:23" ht="14.25" customHeight="1" thickTop="1" x14ac:dyDescent="0.2">
      <c r="A5" s="3" t="s">
        <v>66</v>
      </c>
      <c r="B5" s="4"/>
      <c r="C5" s="84" t="s">
        <v>24</v>
      </c>
      <c r="D5" s="85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5">
        <v>0</v>
      </c>
      <c r="P5" s="9">
        <v>0</v>
      </c>
      <c r="Q5" s="9">
        <v>0</v>
      </c>
      <c r="R5" s="10">
        <v>0</v>
      </c>
      <c r="S5" s="9" t="s">
        <v>75</v>
      </c>
      <c r="T5" s="9"/>
      <c r="U5" s="13"/>
      <c r="V5" s="9"/>
      <c r="W5" s="82"/>
    </row>
    <row r="6" spans="1:23" ht="15.6" customHeight="1" x14ac:dyDescent="0.2">
      <c r="A6" s="3" t="s">
        <v>66</v>
      </c>
      <c r="B6" s="6" t="s">
        <v>25</v>
      </c>
      <c r="C6" s="86" t="s">
        <v>71</v>
      </c>
      <c r="D6" s="87"/>
      <c r="E6" s="67">
        <v>65536</v>
      </c>
      <c r="F6" s="67">
        <v>1</v>
      </c>
      <c r="G6" s="67">
        <v>1</v>
      </c>
      <c r="H6" s="67">
        <v>1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7">
        <v>0</v>
      </c>
      <c r="P6" s="12">
        <v>0.01</v>
      </c>
      <c r="Q6" s="12">
        <v>0.01</v>
      </c>
      <c r="R6" s="11">
        <v>1</v>
      </c>
      <c r="S6" s="9" t="s">
        <v>75</v>
      </c>
      <c r="T6" s="12"/>
      <c r="U6" s="14"/>
      <c r="V6" s="53"/>
      <c r="W6" s="83"/>
    </row>
    <row r="7" spans="1:23" ht="15.6" customHeight="1" x14ac:dyDescent="0.2">
      <c r="A7" s="3" t="s">
        <v>66</v>
      </c>
      <c r="B7" s="6" t="s">
        <v>25</v>
      </c>
      <c r="C7" s="86" t="s">
        <v>72</v>
      </c>
      <c r="D7" s="87"/>
      <c r="E7" s="67">
        <v>0</v>
      </c>
      <c r="F7" s="67">
        <v>1</v>
      </c>
      <c r="G7" s="67">
        <v>1</v>
      </c>
      <c r="H7" s="67">
        <v>1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7">
        <v>0</v>
      </c>
      <c r="P7" s="12">
        <v>0.02</v>
      </c>
      <c r="Q7" s="12">
        <v>0.02</v>
      </c>
      <c r="R7" s="11">
        <v>2</v>
      </c>
      <c r="S7" s="9" t="s">
        <v>75</v>
      </c>
      <c r="T7" s="12"/>
      <c r="U7" s="14"/>
      <c r="V7" s="53"/>
      <c r="W7" s="64"/>
    </row>
    <row r="8" spans="1:23" ht="15.6" customHeight="1" x14ac:dyDescent="0.2">
      <c r="A8" s="3" t="s">
        <v>66</v>
      </c>
      <c r="B8" s="6" t="s">
        <v>25</v>
      </c>
      <c r="C8" s="86" t="s">
        <v>73</v>
      </c>
      <c r="D8" s="87"/>
      <c r="E8" s="67">
        <v>0</v>
      </c>
      <c r="F8" s="67">
        <v>0</v>
      </c>
      <c r="G8" s="67">
        <v>1</v>
      </c>
      <c r="H8" s="67">
        <v>1</v>
      </c>
      <c r="I8" s="67">
        <v>0</v>
      </c>
      <c r="J8" s="67">
        <v>1</v>
      </c>
      <c r="K8" s="67">
        <v>1</v>
      </c>
      <c r="L8" s="67">
        <v>1</v>
      </c>
      <c r="M8" s="67">
        <v>0</v>
      </c>
      <c r="N8" s="67">
        <v>0</v>
      </c>
      <c r="O8" s="7">
        <v>0</v>
      </c>
      <c r="P8" s="12">
        <v>0.03</v>
      </c>
      <c r="Q8" s="12">
        <v>0.03</v>
      </c>
      <c r="R8" s="11">
        <v>0</v>
      </c>
      <c r="S8" s="9" t="s">
        <v>75</v>
      </c>
      <c r="T8" s="12"/>
      <c r="U8" s="14"/>
      <c r="V8" s="53"/>
      <c r="W8" s="64"/>
    </row>
    <row r="9" spans="1:23" ht="15.6" customHeight="1" x14ac:dyDescent="0.2">
      <c r="A9" s="3" t="s">
        <v>66</v>
      </c>
      <c r="B9" s="6" t="s">
        <v>25</v>
      </c>
      <c r="C9" s="86" t="s">
        <v>73</v>
      </c>
      <c r="D9" s="87"/>
      <c r="E9" s="67">
        <v>0</v>
      </c>
      <c r="F9" s="67">
        <v>1</v>
      </c>
      <c r="G9" s="67">
        <v>0</v>
      </c>
      <c r="H9" s="67">
        <v>1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7">
        <v>0</v>
      </c>
      <c r="P9" s="12">
        <v>0.04</v>
      </c>
      <c r="Q9" s="12">
        <v>0.04</v>
      </c>
      <c r="R9" s="11">
        <v>0</v>
      </c>
      <c r="S9" s="9" t="s">
        <v>75</v>
      </c>
      <c r="T9" s="12"/>
      <c r="U9" s="14"/>
      <c r="V9" s="53"/>
      <c r="W9" s="64"/>
    </row>
    <row r="10" spans="1:23" ht="15.6" customHeight="1" x14ac:dyDescent="0.2">
      <c r="A10" s="3" t="s">
        <v>66</v>
      </c>
      <c r="B10" s="6" t="s">
        <v>25</v>
      </c>
      <c r="C10" s="86" t="s">
        <v>73</v>
      </c>
      <c r="D10" s="87"/>
      <c r="E10" s="67">
        <v>0</v>
      </c>
      <c r="F10" s="67">
        <v>1</v>
      </c>
      <c r="G10" s="67">
        <v>1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7">
        <v>0</v>
      </c>
      <c r="P10" s="12">
        <v>0.05</v>
      </c>
      <c r="Q10" s="12">
        <v>0.05</v>
      </c>
      <c r="R10" s="11">
        <v>0</v>
      </c>
      <c r="S10" s="9" t="s">
        <v>75</v>
      </c>
      <c r="T10" s="12"/>
      <c r="U10" s="14"/>
      <c r="V10" s="53"/>
      <c r="W10" s="64"/>
    </row>
    <row r="11" spans="1:23" ht="15.6" customHeight="1" thickBot="1" x14ac:dyDescent="0.25">
      <c r="A11" s="3" t="s">
        <v>66</v>
      </c>
      <c r="B11" s="6" t="s">
        <v>25</v>
      </c>
      <c r="C11" s="86" t="s">
        <v>74</v>
      </c>
      <c r="D11" s="87"/>
      <c r="E11" s="67">
        <v>0</v>
      </c>
      <c r="F11" s="67">
        <v>0</v>
      </c>
      <c r="G11" s="67">
        <v>1</v>
      </c>
      <c r="H11" s="67">
        <v>1</v>
      </c>
      <c r="I11" s="67">
        <v>1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7">
        <v>0</v>
      </c>
      <c r="P11" s="12">
        <v>0.06</v>
      </c>
      <c r="Q11" s="12">
        <v>0.06</v>
      </c>
      <c r="R11" s="11">
        <v>2</v>
      </c>
      <c r="S11" s="9" t="s">
        <v>75</v>
      </c>
      <c r="T11" s="12"/>
      <c r="U11" s="14"/>
      <c r="V11" s="53"/>
      <c r="W11" s="64"/>
    </row>
    <row r="12" spans="1:23" ht="14.25" customHeight="1" thickTop="1" x14ac:dyDescent="0.2">
      <c r="A12" s="3" t="s">
        <v>52</v>
      </c>
      <c r="B12" s="4"/>
      <c r="C12" s="84" t="s">
        <v>24</v>
      </c>
      <c r="D12" s="85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5">
        <v>0</v>
      </c>
      <c r="P12" s="9">
        <v>0</v>
      </c>
      <c r="Q12" s="9">
        <v>0</v>
      </c>
      <c r="R12" s="10">
        <v>0</v>
      </c>
      <c r="S12" s="9"/>
      <c r="T12" s="9"/>
      <c r="U12" s="13"/>
      <c r="V12" s="9"/>
      <c r="W12" s="82"/>
    </row>
    <row r="13" spans="1:23" ht="15" customHeight="1" x14ac:dyDescent="0.2">
      <c r="A13" s="3" t="s">
        <v>53</v>
      </c>
      <c r="B13" s="6" t="s">
        <v>25</v>
      </c>
      <c r="C13" s="86"/>
      <c r="D13" s="8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7"/>
      <c r="P13" s="12"/>
      <c r="Q13" s="12"/>
      <c r="R13" s="11"/>
      <c r="S13" s="9"/>
      <c r="T13" s="12"/>
      <c r="U13" s="14"/>
      <c r="V13" s="53"/>
      <c r="W13" s="83"/>
    </row>
  </sheetData>
  <mergeCells count="23">
    <mergeCell ref="A2:B2"/>
    <mergeCell ref="C5:D5"/>
    <mergeCell ref="P3:P4"/>
    <mergeCell ref="C2:D2"/>
    <mergeCell ref="Q3:Q4"/>
    <mergeCell ref="A3:A4"/>
    <mergeCell ref="B3:B4"/>
    <mergeCell ref="C3:D4"/>
    <mergeCell ref="U3:U4"/>
    <mergeCell ref="V3:V4"/>
    <mergeCell ref="W3:W4"/>
    <mergeCell ref="W5:W6"/>
    <mergeCell ref="C12:D12"/>
    <mergeCell ref="W12:W13"/>
    <mergeCell ref="C13:D13"/>
    <mergeCell ref="C6:D6"/>
    <mergeCell ref="S3:S4"/>
    <mergeCell ref="T3:T4"/>
    <mergeCell ref="C7:D7"/>
    <mergeCell ref="C8:D8"/>
    <mergeCell ref="C9:D9"/>
    <mergeCell ref="C10:D10"/>
    <mergeCell ref="C11:D11"/>
  </mergeCells>
  <phoneticPr fontId="19" type="noConversion"/>
  <conditionalFormatting sqref="B5">
    <cfRule type="cellIs" dxfId="28" priority="242" stopIfTrue="1" operator="equal">
      <formula>"Pass"</formula>
    </cfRule>
    <cfRule type="cellIs" dxfId="27" priority="243" stopIfTrue="1" operator="equal">
      <formula>"Fail"</formula>
    </cfRule>
    <cfRule type="cellIs" dxfId="26" priority="244" stopIfTrue="1" operator="equal">
      <formula>"NotTest"</formula>
    </cfRule>
  </conditionalFormatting>
  <conditionalFormatting sqref="S5:U6">
    <cfRule type="cellIs" dxfId="25" priority="237" stopIfTrue="1" operator="equal">
      <formula>"PASS"</formula>
    </cfRule>
    <cfRule type="cellIs" dxfId="24" priority="238" stopIfTrue="1" operator="equal">
      <formula>"FAIL"</formula>
    </cfRule>
  </conditionalFormatting>
  <conditionalFormatting sqref="O2">
    <cfRule type="cellIs" dxfId="23" priority="33" operator="notEqual">
      <formula>#REF!</formula>
    </cfRule>
  </conditionalFormatting>
  <conditionalFormatting sqref="O2">
    <cfRule type="cellIs" dxfId="22" priority="31" operator="equal">
      <formula>"Pass"</formula>
    </cfRule>
    <cfRule type="cellIs" dxfId="21" priority="32" operator="equal">
      <formula>"Fail"</formula>
    </cfRule>
  </conditionalFormatting>
  <conditionalFormatting sqref="P2">
    <cfRule type="cellIs" dxfId="20" priority="24" operator="notEqual">
      <formula>#REF!</formula>
    </cfRule>
  </conditionalFormatting>
  <conditionalFormatting sqref="P2">
    <cfRule type="cellIs" dxfId="19" priority="22" operator="equal">
      <formula>"Pass"</formula>
    </cfRule>
    <cfRule type="cellIs" dxfId="18" priority="23" operator="equal">
      <formula>"Fail"</formula>
    </cfRule>
  </conditionalFormatting>
  <conditionalFormatting sqref="Q2">
    <cfRule type="cellIs" dxfId="17" priority="21" operator="notEqual">
      <formula>#REF!</formula>
    </cfRule>
  </conditionalFormatting>
  <conditionalFormatting sqref="Q2">
    <cfRule type="cellIs" dxfId="16" priority="19" operator="equal">
      <formula>"Pass"</formula>
    </cfRule>
    <cfRule type="cellIs" dxfId="15" priority="20" operator="equal">
      <formula>"Fail"</formula>
    </cfRule>
  </conditionalFormatting>
  <conditionalFormatting sqref="B12">
    <cfRule type="cellIs" dxfId="14" priority="16" stopIfTrue="1" operator="equal">
      <formula>"Pass"</formula>
    </cfRule>
    <cfRule type="cellIs" dxfId="13" priority="17" stopIfTrue="1" operator="equal">
      <formula>"Fail"</formula>
    </cfRule>
    <cfRule type="cellIs" dxfId="12" priority="18" stopIfTrue="1" operator="equal">
      <formula>"NotTest"</formula>
    </cfRule>
  </conditionalFormatting>
  <conditionalFormatting sqref="S12:U13">
    <cfRule type="cellIs" dxfId="11" priority="14" stopIfTrue="1" operator="equal">
      <formula>"PASS"</formula>
    </cfRule>
    <cfRule type="cellIs" dxfId="10" priority="15" stopIfTrue="1" operator="equal">
      <formula>"FAIL"</formula>
    </cfRule>
  </conditionalFormatting>
  <conditionalFormatting sqref="S7:U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S8:U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S9:U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S10:U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S11:U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S5:S13">
      <formula1>"Pass,Fail,NotTest"</formula1>
    </dataValidation>
    <dataValidation type="list" showInputMessage="1" showErrorMessage="1" sqref="E2:O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LgrstClsStEnCtrl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2023-08-10T05:46:19Z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