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7\Model\ModeAdjust\ComfortMdL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P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Q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R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S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P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Q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U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V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S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<sst xmlns="http://schemas.openxmlformats.org/spreadsheetml/2006/main" count="141" uniqueCount="86">
  <si>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</si>
  <si>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</si>
  <si>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</si>
  <si>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</si>
  <si>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</si>
  <si>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</si>
  <si>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</si>
  <si>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</si>
  <si>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</si>
  <si>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</si>
  <si>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</si>
  <si>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</si>
  <si>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</si>
  <si>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</si>
  <si>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</si>
  <si>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</si>
  <si>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</si>
  <si>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</si>
  <si>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</si>
  <si>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</si>
  <si>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</si>
  <si>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</si>
  <si>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</si>
  <si>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</si>
  <si>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</si>
  <si>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</si>
  <si>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</si>
  <si>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</si>
  <si>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</si>
  <si>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</si>
  <si>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</si>
  <si>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</si>
  <si>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</si>
  <si>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</si>
  <si>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</si>
  <si>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</si>
  <si>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</si>
  <si>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</si>
  <si>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</si>
  <si>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</si>
  <si>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</si>
  <si>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</si>
  <si>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</si>
  <si>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</si>
  <si>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</si>
  <si>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</si>
  <si>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IfVeSMSuSecRwLtStLgrstUpwdDnwdPos_Val</t>
  </si>
  <si>
    <t>MdXXIsTargetPosZone_Val</t>
  </si>
  <si>
    <t>SecRwLtStBkReclnStgDone_Val</t>
  </si>
  <si>
    <t>SecRwLtStLgrstOtwdInwdStgDone_Val</t>
  </si>
  <si>
    <t>SecRwLtStLgrstUpwdDnwdStgDone_Val</t>
  </si>
  <si>
    <t>ZeroLStgDone_Val</t>
  </si>
  <si>
    <t>IfVeSMSuSecRwLtStLgrstOtwdInwdPos_Val</t>
  </si>
  <si>
    <t>ComfortMdLDone_Val</t>
    <phoneticPr fontId="19" type="noConversion"/>
  </si>
  <si>
    <t>KeSMSw4SSecRwLtStLgrstOtwdInwdClosePos1_Val</t>
  </si>
  <si>
    <t>uint16</t>
  </si>
  <si>
    <t>KeSMSw4SSecRwLtStLgrstUpwdDnwdClosePos1_Val</t>
  </si>
  <si>
    <t>KeSMSw4SSecRwLtStLgrstUpwdDnwdClosePos2_Val</t>
  </si>
  <si>
    <t>KeSMSw4SSecRwLtStLgrstUpwdDnwdOpenPos1_Val</t>
  </si>
  <si>
    <t>ComfortMdLtStEnCtrl-0010</t>
    <phoneticPr fontId="19" type="noConversion"/>
  </si>
  <si>
    <t>靠背到位置</t>
    <phoneticPr fontId="19" type="noConversion"/>
  </si>
  <si>
    <t>零重力到位置</t>
    <phoneticPr fontId="19" type="noConversion"/>
  </si>
  <si>
    <t>腿托延伸到位置</t>
    <phoneticPr fontId="19" type="noConversion"/>
  </si>
  <si>
    <t>腿托到位置,调节成功</t>
    <phoneticPr fontId="19" type="noConversion"/>
  </si>
  <si>
    <t>ComfortMdLtStEnCtrl-0020</t>
    <phoneticPr fontId="19" type="noConversion"/>
  </si>
  <si>
    <t>所有电机到位置，调节失败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</si>
  <si>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</si>
  <si>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</si>
  <si>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</si>
  <si>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</si>
  <si>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</si>
  <si>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</si>
  <si>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</si>
  <si>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</si>
  <si>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</si>
  <si>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BkReclnEnIn</t>
    <phoneticPr fontId="19" type="noConversion"/>
  </si>
  <si>
    <t>ZeroEnIn</t>
    <phoneticPr fontId="19" type="noConversion"/>
  </si>
  <si>
    <t>LgrstUpwdDnwdEnIn</t>
    <phoneticPr fontId="19" type="noConversion"/>
  </si>
  <si>
    <t>LgrstInwdOtwdEnIn</t>
    <phoneticPr fontId="19" type="noConversion"/>
  </si>
  <si>
    <t>FailflgIn</t>
    <phoneticPr fontId="19" type="noConversion"/>
  </si>
  <si>
    <t>Pass</t>
    <phoneticPr fontId="19" type="noConversion"/>
  </si>
  <si>
    <t>ComfortMdLtStEnCtrl-0030</t>
    <phoneticPr fontId="19" type="noConversion"/>
  </si>
  <si>
    <t>电机到位置覆盖率</t>
    <phoneticPr fontId="19" type="noConversion"/>
  </si>
  <si>
    <t>Failflg</t>
    <phoneticPr fontId="19" type="noConversion"/>
  </si>
  <si>
    <t>isposzone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</si>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</sst>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2" t="s">
        <v>26</v>
      </c>
      <c r="B10" s="72"/>
      <c r="C10" s="72"/>
      <c r="D10" s="72"/>
      <c r="E10" s="72"/>
      <c r="F10" s="72"/>
      <c r="G10" s="72"/>
      <c r="H10" s="72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3" t="s">
        <v>27</v>
      </c>
      <c r="E14" s="70"/>
      <c r="F14" s="71"/>
      <c r="G14" s="45"/>
      <c r="H14" s="45"/>
    </row>
    <row r="15" spans="1:8" ht="27.6" x14ac:dyDescent="0.25">
      <c r="A15" s="44"/>
      <c r="B15" s="45"/>
      <c r="C15" s="46" t="s">
        <v>1</v>
      </c>
      <c r="D15" s="73" t="s">
        <v>28</v>
      </c>
      <c r="E15" s="70"/>
      <c r="F15" s="71"/>
      <c r="G15" s="45"/>
      <c r="H15" s="45"/>
    </row>
    <row r="16" spans="1:8" ht="12" customHeight="1" x14ac:dyDescent="0.25">
      <c r="A16" s="44"/>
      <c r="B16" s="45"/>
      <c r="C16" s="46" t="s">
        <v>2</v>
      </c>
      <c r="D16" s="73" t="s">
        <v>29</v>
      </c>
      <c r="E16" s="70"/>
      <c r="F16" s="71"/>
      <c r="G16" s="45"/>
      <c r="H16" s="45"/>
    </row>
    <row r="17" spans="3:6" ht="15.75" customHeight="1" x14ac:dyDescent="0.25">
      <c r="C17" s="46" t="s">
        <v>3</v>
      </c>
      <c r="D17" s="74" t="s">
        <v>30</v>
      </c>
      <c r="E17" s="75"/>
      <c r="F17" s="76"/>
    </row>
    <row r="18" spans="3:6" ht="13.8" x14ac:dyDescent="0.25">
      <c r="C18" s="46" t="s">
        <v>4</v>
      </c>
      <c r="D18" s="69"/>
      <c r="E18" s="70"/>
      <c r="F18" s="71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A4" sqref="A4"/>
    </sheetView>
  </sheetViews>
  <sheetFormatPr defaultColWidth="9.109375" defaultRowHeight="15.9" customHeight="1" x14ac:dyDescent="0.25"/>
  <cols>
    <col min="1" max="1" width="22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66</v>
      </c>
      <c r="B1" s="54" t="s">
        <v>67</v>
      </c>
      <c r="C1" s="54" t="s">
        <v>68</v>
      </c>
      <c r="D1" s="54" t="s">
        <v>69</v>
      </c>
      <c r="E1" s="54" t="s">
        <v>70</v>
      </c>
      <c r="F1" s="54" t="s">
        <v>71</v>
      </c>
      <c r="G1" s="54" t="s">
        <v>72</v>
      </c>
      <c r="H1" s="54" t="s">
        <v>73</v>
      </c>
      <c r="I1" s="54" t="s">
        <v>74</v>
      </c>
    </row>
    <row r="2" spans="1:9" ht="15.9" customHeight="1" x14ac:dyDescent="0.2">
      <c r="A2" s="3" t="s">
        <v>59</v>
      </c>
      <c r="E2" s="55" t="s">
        <v>80</v>
      </c>
    </row>
    <row r="3" spans="1:9" ht="15.9" customHeight="1" x14ac:dyDescent="0.2">
      <c r="A3" s="3" t="s">
        <v>64</v>
      </c>
      <c r="E3" s="55" t="s">
        <v>80</v>
      </c>
    </row>
    <row r="4" spans="1:9" ht="15.9" customHeight="1" x14ac:dyDescent="0.2">
      <c r="A4" s="3" t="s">
        <v>81</v>
      </c>
      <c r="E4" s="55" t="s">
        <v>85</v>
      </c>
    </row>
  </sheetData>
  <phoneticPr fontId="19" type="noConversion"/>
  <conditionalFormatting sqref="E1:F1048576">
    <cfRule type="cellIs" dxfId="54" priority="1" operator="equal">
      <formula>"Fail"</formula>
    </cfRule>
    <cfRule type="cellIs" dxfId="5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4" sqref="A4"/>
    </sheetView>
  </sheetViews>
  <sheetFormatPr defaultColWidth="9.109375" defaultRowHeight="15.9" customHeight="1" x14ac:dyDescent="0.25"/>
  <cols>
    <col min="1" max="1" width="47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54</v>
      </c>
      <c r="D2" s="59" t="s">
        <v>55</v>
      </c>
      <c r="G2" s="59">
        <v>300</v>
      </c>
    </row>
    <row r="3" spans="1:7" ht="15.9" customHeight="1" x14ac:dyDescent="0.25">
      <c r="A3" s="55" t="s">
        <v>56</v>
      </c>
      <c r="D3" s="59" t="s">
        <v>55</v>
      </c>
      <c r="G3" s="59">
        <v>2000</v>
      </c>
    </row>
    <row r="4" spans="1:7" ht="15.9" customHeight="1" x14ac:dyDescent="0.25">
      <c r="A4" s="55" t="s">
        <v>57</v>
      </c>
      <c r="D4" s="59" t="s">
        <v>55</v>
      </c>
      <c r="G4" s="59">
        <v>3000</v>
      </c>
    </row>
    <row r="5" spans="1:7" ht="15.9" customHeight="1" x14ac:dyDescent="0.25">
      <c r="A5" s="55" t="s">
        <v>58</v>
      </c>
      <c r="D5" s="59" t="s">
        <v>55</v>
      </c>
      <c r="G5" s="59">
        <v>0</v>
      </c>
    </row>
  </sheetData>
  <phoneticPr fontId="19" type="noConversion"/>
  <conditionalFormatting sqref="H1:XET1">
    <cfRule type="cellIs" dxfId="52" priority="1" operator="notEqual">
      <formula>#REF!</formula>
    </cfRule>
  </conditionalFormatting>
  <conditionalFormatting sqref="XEU1:XFD1">
    <cfRule type="cellIs" dxfId="5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"/>
  <sheetViews>
    <sheetView tabSelected="1" zoomScaleNormal="100" workbookViewId="0">
      <pane xSplit="4" ySplit="4" topLeftCell="H11" activePane="bottomRight" state="frozen"/>
      <selection pane="topRight"/>
      <selection pane="bottomLeft"/>
      <selection pane="bottomRight" activeCell="I22" sqref="I22"/>
    </sheetView>
  </sheetViews>
  <sheetFormatPr defaultColWidth="9" defaultRowHeight="14.4" x14ac:dyDescent="0.25"/>
  <cols>
    <col min="1" max="1" width="22" bestFit="1" customWidth="1"/>
    <col min="3" max="3" width="11" customWidth="1"/>
    <col min="4" max="4" width="10.44140625" customWidth="1"/>
    <col min="5" max="10" width="37" bestFit="1" customWidth="1"/>
    <col min="11" max="11" width="22" bestFit="1" customWidth="1"/>
    <col min="12" max="12" width="26.5546875" bestFit="1" customWidth="1"/>
    <col min="13" max="13" width="31.77734375" bestFit="1" customWidth="1"/>
    <col min="14" max="14" width="33" bestFit="1" customWidth="1"/>
    <col min="15" max="15" width="15.33203125" bestFit="1" customWidth="1"/>
    <col min="16" max="16" width="35.77734375" bestFit="1" customWidth="1"/>
    <col min="17" max="17" width="42.44140625" customWidth="1"/>
    <col min="18" max="18" width="13.44140625" customWidth="1"/>
    <col min="19" max="19" width="17.88671875" bestFit="1" customWidth="1"/>
  </cols>
  <sheetData>
    <row r="1" spans="1:24" x14ac:dyDescent="0.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4" ht="13.5" customHeight="1" x14ac:dyDescent="0.25">
      <c r="A2" s="87" t="s">
        <v>32</v>
      </c>
      <c r="B2" s="88"/>
      <c r="C2" s="91" t="s">
        <v>33</v>
      </c>
      <c r="D2" s="92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0" t="s">
        <v>42</v>
      </c>
      <c r="Q2" s="61" t="s">
        <v>43</v>
      </c>
      <c r="R2" s="61" t="s">
        <v>43</v>
      </c>
    </row>
    <row r="3" spans="1:24" x14ac:dyDescent="0.2">
      <c r="A3" s="95" t="s">
        <v>13</v>
      </c>
      <c r="B3" s="95" t="s">
        <v>14</v>
      </c>
      <c r="C3" s="97" t="s">
        <v>15</v>
      </c>
      <c r="D3" s="98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2" t="s">
        <v>16</v>
      </c>
      <c r="Q3" s="89" t="s">
        <v>17</v>
      </c>
      <c r="R3" s="93" t="s">
        <v>18</v>
      </c>
      <c r="S3" s="63" t="s">
        <v>19</v>
      </c>
      <c r="T3" s="85" t="s">
        <v>20</v>
      </c>
      <c r="U3" s="83" t="s">
        <v>21</v>
      </c>
      <c r="V3" s="83" t="s">
        <v>3</v>
      </c>
      <c r="W3" s="85" t="s">
        <v>22</v>
      </c>
      <c r="X3" s="85" t="s">
        <v>23</v>
      </c>
    </row>
    <row r="4" spans="1:24" ht="15" thickBot="1" x14ac:dyDescent="0.25">
      <c r="A4" s="96"/>
      <c r="B4" s="96"/>
      <c r="C4" s="99"/>
      <c r="D4" s="100"/>
      <c r="E4" s="68" t="s">
        <v>75</v>
      </c>
      <c r="F4" s="68" t="s">
        <v>76</v>
      </c>
      <c r="G4" s="68" t="s">
        <v>77</v>
      </c>
      <c r="H4" s="68" t="s">
        <v>78</v>
      </c>
      <c r="I4" s="68" t="s">
        <v>79</v>
      </c>
      <c r="J4" s="68" t="s">
        <v>46</v>
      </c>
      <c r="K4" s="68" t="s">
        <v>47</v>
      </c>
      <c r="L4" s="68" t="s">
        <v>48</v>
      </c>
      <c r="M4" s="68" t="s">
        <v>49</v>
      </c>
      <c r="N4" s="68" t="s">
        <v>50</v>
      </c>
      <c r="O4" s="68" t="s">
        <v>51</v>
      </c>
      <c r="P4" s="2" t="s">
        <v>52</v>
      </c>
      <c r="Q4" s="90"/>
      <c r="R4" s="94"/>
      <c r="S4" s="8" t="s">
        <v>53</v>
      </c>
      <c r="T4" s="86"/>
      <c r="U4" s="84"/>
      <c r="V4" s="84"/>
      <c r="W4" s="86"/>
      <c r="X4" s="83"/>
    </row>
    <row r="5" spans="1:24" ht="14.25" customHeight="1" thickTop="1" x14ac:dyDescent="0.2">
      <c r="A5" s="3" t="s">
        <v>59</v>
      </c>
      <c r="B5" s="4"/>
      <c r="C5" s="77" t="s">
        <v>24</v>
      </c>
      <c r="D5" s="78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5">
        <v>0</v>
      </c>
      <c r="Q5" s="9">
        <v>0</v>
      </c>
      <c r="R5" s="9">
        <v>0</v>
      </c>
      <c r="S5" s="10">
        <v>0</v>
      </c>
      <c r="T5" s="9" t="s">
        <v>80</v>
      </c>
      <c r="U5" s="9"/>
      <c r="V5" s="13"/>
      <c r="W5" s="9"/>
      <c r="X5" s="79"/>
    </row>
    <row r="6" spans="1:24" ht="15.6" customHeight="1" x14ac:dyDescent="0.2">
      <c r="A6" s="3" t="s">
        <v>59</v>
      </c>
      <c r="B6" s="6" t="s">
        <v>25</v>
      </c>
      <c r="C6" s="81"/>
      <c r="D6" s="82"/>
      <c r="E6" s="66">
        <v>1</v>
      </c>
      <c r="F6" s="66">
        <v>0</v>
      </c>
      <c r="G6" s="66">
        <v>0</v>
      </c>
      <c r="H6" s="66">
        <v>0</v>
      </c>
      <c r="I6" s="66">
        <v>0</v>
      </c>
      <c r="J6" s="66">
        <v>3000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7">
        <v>0</v>
      </c>
      <c r="Q6" s="12">
        <v>0.01</v>
      </c>
      <c r="R6" s="12">
        <v>0.01</v>
      </c>
      <c r="S6" s="11">
        <v>0</v>
      </c>
      <c r="T6" s="9" t="s">
        <v>80</v>
      </c>
      <c r="U6" s="12"/>
      <c r="V6" s="14"/>
      <c r="W6" s="53"/>
      <c r="X6" s="79"/>
    </row>
    <row r="7" spans="1:24" ht="15.6" customHeight="1" x14ac:dyDescent="0.2">
      <c r="A7" s="3" t="s">
        <v>59</v>
      </c>
      <c r="B7" s="6" t="s">
        <v>25</v>
      </c>
      <c r="C7" s="81" t="s">
        <v>60</v>
      </c>
      <c r="D7" s="82"/>
      <c r="E7" s="66">
        <v>0</v>
      </c>
      <c r="F7" s="66">
        <v>1</v>
      </c>
      <c r="G7" s="66">
        <v>0</v>
      </c>
      <c r="H7" s="66">
        <v>0</v>
      </c>
      <c r="I7" s="66">
        <v>0</v>
      </c>
      <c r="J7" s="66">
        <v>3000</v>
      </c>
      <c r="K7" s="66">
        <v>0</v>
      </c>
      <c r="L7" s="66">
        <v>1</v>
      </c>
      <c r="M7" s="66">
        <v>0</v>
      </c>
      <c r="N7" s="66">
        <v>0</v>
      </c>
      <c r="O7" s="66">
        <v>0</v>
      </c>
      <c r="P7" s="7">
        <v>0</v>
      </c>
      <c r="Q7" s="12">
        <v>0.02</v>
      </c>
      <c r="R7" s="12">
        <v>0.02</v>
      </c>
      <c r="S7" s="11">
        <v>0</v>
      </c>
      <c r="T7" s="9" t="s">
        <v>80</v>
      </c>
      <c r="U7" s="12"/>
      <c r="V7" s="14"/>
      <c r="W7" s="53"/>
      <c r="X7" s="79"/>
    </row>
    <row r="8" spans="1:24" ht="15.6" customHeight="1" x14ac:dyDescent="0.2">
      <c r="A8" s="3" t="s">
        <v>59</v>
      </c>
      <c r="B8" s="6" t="s">
        <v>25</v>
      </c>
      <c r="C8" s="81" t="s">
        <v>61</v>
      </c>
      <c r="D8" s="82"/>
      <c r="E8" s="66">
        <v>0</v>
      </c>
      <c r="F8" s="66">
        <v>0</v>
      </c>
      <c r="G8" s="66">
        <v>0</v>
      </c>
      <c r="H8" s="66">
        <v>1</v>
      </c>
      <c r="I8" s="66">
        <v>0</v>
      </c>
      <c r="J8" s="66">
        <v>3000</v>
      </c>
      <c r="K8" s="66">
        <v>0</v>
      </c>
      <c r="L8" s="66">
        <v>1</v>
      </c>
      <c r="M8" s="66">
        <v>0</v>
      </c>
      <c r="N8" s="66">
        <v>0</v>
      </c>
      <c r="O8" s="66">
        <v>1</v>
      </c>
      <c r="P8" s="7">
        <v>0</v>
      </c>
      <c r="Q8" s="12">
        <v>0.03</v>
      </c>
      <c r="R8" s="12">
        <v>0.03</v>
      </c>
      <c r="S8" s="11">
        <v>0</v>
      </c>
      <c r="T8" s="9" t="s">
        <v>80</v>
      </c>
      <c r="U8" s="12"/>
      <c r="V8" s="14"/>
      <c r="W8" s="53"/>
      <c r="X8" s="79"/>
    </row>
    <row r="9" spans="1:24" ht="15.6" customHeight="1" x14ac:dyDescent="0.2">
      <c r="A9" s="3" t="s">
        <v>59</v>
      </c>
      <c r="B9" s="6" t="s">
        <v>25</v>
      </c>
      <c r="C9" s="81" t="s">
        <v>62</v>
      </c>
      <c r="D9" s="82"/>
      <c r="E9" s="66">
        <v>0</v>
      </c>
      <c r="F9" s="66">
        <v>0</v>
      </c>
      <c r="G9" s="66">
        <v>1</v>
      </c>
      <c r="H9" s="66">
        <v>0</v>
      </c>
      <c r="I9" s="66">
        <v>0</v>
      </c>
      <c r="J9" s="66">
        <v>3000</v>
      </c>
      <c r="K9" s="66">
        <v>0</v>
      </c>
      <c r="L9" s="66">
        <v>1</v>
      </c>
      <c r="M9" s="66">
        <v>1</v>
      </c>
      <c r="N9" s="66">
        <v>0</v>
      </c>
      <c r="O9" s="66">
        <v>1</v>
      </c>
      <c r="P9" s="7">
        <v>0</v>
      </c>
      <c r="Q9" s="12">
        <v>0.04</v>
      </c>
      <c r="R9" s="12">
        <v>0.04</v>
      </c>
      <c r="S9" s="11">
        <v>0</v>
      </c>
      <c r="T9" s="9" t="s">
        <v>80</v>
      </c>
      <c r="U9" s="12"/>
      <c r="V9" s="14"/>
      <c r="W9" s="53"/>
      <c r="X9" s="79"/>
    </row>
    <row r="10" spans="1:24" ht="15.6" customHeight="1" thickBot="1" x14ac:dyDescent="0.25">
      <c r="A10" s="3" t="s">
        <v>59</v>
      </c>
      <c r="B10" s="6" t="s">
        <v>25</v>
      </c>
      <c r="C10" s="81" t="s">
        <v>63</v>
      </c>
      <c r="D10" s="82"/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3000</v>
      </c>
      <c r="K10" s="66">
        <v>1024</v>
      </c>
      <c r="L10" s="66">
        <v>1</v>
      </c>
      <c r="M10" s="66">
        <v>1</v>
      </c>
      <c r="N10" s="66">
        <v>1</v>
      </c>
      <c r="O10" s="66">
        <v>1</v>
      </c>
      <c r="P10" s="7">
        <v>0</v>
      </c>
      <c r="Q10" s="12">
        <v>0.05</v>
      </c>
      <c r="R10" s="12">
        <v>0.05</v>
      </c>
      <c r="S10" s="11">
        <v>1</v>
      </c>
      <c r="T10" s="9" t="s">
        <v>80</v>
      </c>
      <c r="U10" s="12"/>
      <c r="V10" s="14"/>
      <c r="W10" s="53"/>
      <c r="X10" s="80"/>
    </row>
    <row r="11" spans="1:24" ht="14.25" customHeight="1" thickTop="1" x14ac:dyDescent="0.2">
      <c r="A11" s="3" t="s">
        <v>64</v>
      </c>
      <c r="B11" s="4"/>
      <c r="C11" s="77" t="s">
        <v>24</v>
      </c>
      <c r="D11" s="78"/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5">
        <v>0</v>
      </c>
      <c r="Q11" s="9">
        <v>0</v>
      </c>
      <c r="R11" s="9">
        <v>0</v>
      </c>
      <c r="S11" s="10">
        <v>0</v>
      </c>
      <c r="T11" s="9" t="s">
        <v>80</v>
      </c>
      <c r="U11" s="9"/>
      <c r="V11" s="13"/>
      <c r="W11" s="9"/>
      <c r="X11" s="79"/>
    </row>
    <row r="12" spans="1:24" ht="37.799999999999997" customHeight="1" thickBot="1" x14ac:dyDescent="0.25">
      <c r="A12" s="3" t="s">
        <v>64</v>
      </c>
      <c r="B12" s="6" t="s">
        <v>25</v>
      </c>
      <c r="C12" s="81" t="s">
        <v>65</v>
      </c>
      <c r="D12" s="82"/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3000</v>
      </c>
      <c r="K12" s="66">
        <v>0</v>
      </c>
      <c r="L12" s="66">
        <v>1</v>
      </c>
      <c r="M12" s="66">
        <v>1</v>
      </c>
      <c r="N12" s="66">
        <v>1</v>
      </c>
      <c r="O12" s="66">
        <v>1</v>
      </c>
      <c r="P12" s="7">
        <v>0</v>
      </c>
      <c r="Q12" s="12">
        <v>0.01</v>
      </c>
      <c r="R12" s="12">
        <v>0.01</v>
      </c>
      <c r="S12" s="11">
        <v>2</v>
      </c>
      <c r="T12" s="9" t="s">
        <v>80</v>
      </c>
      <c r="U12" s="12"/>
      <c r="V12" s="14"/>
      <c r="W12" s="53"/>
      <c r="X12" s="79"/>
    </row>
    <row r="13" spans="1:24" ht="14.25" customHeight="1" thickTop="1" x14ac:dyDescent="0.2">
      <c r="A13" s="3" t="s">
        <v>81</v>
      </c>
      <c r="B13" s="4"/>
      <c r="C13" s="77" t="s">
        <v>24</v>
      </c>
      <c r="D13" s="78"/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5">
        <v>0</v>
      </c>
      <c r="Q13" s="9">
        <v>0</v>
      </c>
      <c r="R13" s="9">
        <v>0</v>
      </c>
      <c r="S13" s="10">
        <v>0</v>
      </c>
      <c r="T13" s="9" t="s">
        <v>80</v>
      </c>
      <c r="U13" s="9"/>
      <c r="V13" s="13"/>
      <c r="W13" s="9"/>
      <c r="X13" s="79"/>
    </row>
    <row r="14" spans="1:24" ht="37.799999999999997" customHeight="1" x14ac:dyDescent="0.2">
      <c r="A14" s="3" t="s">
        <v>81</v>
      </c>
      <c r="B14" s="6" t="s">
        <v>25</v>
      </c>
      <c r="C14" s="81" t="s">
        <v>82</v>
      </c>
      <c r="D14" s="82"/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6">
        <v>3000</v>
      </c>
      <c r="K14" s="66">
        <v>0</v>
      </c>
      <c r="L14" s="66">
        <v>0</v>
      </c>
      <c r="M14" s="66">
        <v>1</v>
      </c>
      <c r="N14" s="66">
        <v>1</v>
      </c>
      <c r="O14" s="66">
        <v>1</v>
      </c>
      <c r="P14" s="7">
        <v>0</v>
      </c>
      <c r="Q14" s="12">
        <v>0.01</v>
      </c>
      <c r="R14" s="12">
        <v>0.01</v>
      </c>
      <c r="S14" s="11">
        <v>0</v>
      </c>
      <c r="T14" s="9" t="s">
        <v>80</v>
      </c>
      <c r="U14" s="12"/>
      <c r="V14" s="14"/>
      <c r="W14" s="53"/>
      <c r="X14" s="79"/>
    </row>
    <row r="15" spans="1:24" ht="37.799999999999997" customHeight="1" x14ac:dyDescent="0.2">
      <c r="A15" s="3" t="s">
        <v>81</v>
      </c>
      <c r="B15" s="6" t="s">
        <v>25</v>
      </c>
      <c r="C15" s="81" t="s">
        <v>82</v>
      </c>
      <c r="D15" s="82"/>
      <c r="E15" s="66">
        <v>0</v>
      </c>
      <c r="F15" s="66">
        <v>0</v>
      </c>
      <c r="G15" s="66">
        <v>0</v>
      </c>
      <c r="H15" s="66">
        <v>0</v>
      </c>
      <c r="I15" s="66">
        <v>0</v>
      </c>
      <c r="J15" s="66">
        <v>3000</v>
      </c>
      <c r="K15" s="66">
        <v>0</v>
      </c>
      <c r="L15" s="66">
        <v>1</v>
      </c>
      <c r="M15" s="66">
        <v>0</v>
      </c>
      <c r="N15" s="66">
        <v>1</v>
      </c>
      <c r="O15" s="66">
        <v>1</v>
      </c>
      <c r="P15" s="7">
        <v>0</v>
      </c>
      <c r="Q15" s="12">
        <v>0.02</v>
      </c>
      <c r="R15" s="12">
        <v>0.02</v>
      </c>
      <c r="S15" s="11">
        <v>0</v>
      </c>
      <c r="T15" s="9" t="s">
        <v>80</v>
      </c>
      <c r="U15" s="12"/>
      <c r="V15" s="14"/>
      <c r="W15" s="53"/>
      <c r="X15" s="79"/>
    </row>
    <row r="16" spans="1:24" ht="37.799999999999997" customHeight="1" x14ac:dyDescent="0.2">
      <c r="A16" s="3" t="s">
        <v>81</v>
      </c>
      <c r="B16" s="6" t="s">
        <v>25</v>
      </c>
      <c r="C16" s="81" t="s">
        <v>82</v>
      </c>
      <c r="D16" s="82"/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3000</v>
      </c>
      <c r="K16" s="66">
        <v>0</v>
      </c>
      <c r="L16" s="66">
        <v>1</v>
      </c>
      <c r="M16" s="66">
        <v>1</v>
      </c>
      <c r="N16" s="66">
        <v>0</v>
      </c>
      <c r="O16" s="66">
        <v>1</v>
      </c>
      <c r="P16" s="7">
        <v>0</v>
      </c>
      <c r="Q16" s="12">
        <v>0.03</v>
      </c>
      <c r="R16" s="12">
        <v>0.03</v>
      </c>
      <c r="S16" s="11">
        <v>0</v>
      </c>
      <c r="T16" s="9" t="s">
        <v>80</v>
      </c>
      <c r="U16" s="12"/>
      <c r="V16" s="14"/>
      <c r="W16" s="53"/>
      <c r="X16" s="79"/>
    </row>
    <row r="17" spans="1:24" ht="37.799999999999997" customHeight="1" x14ac:dyDescent="0.2">
      <c r="A17" s="3" t="s">
        <v>81</v>
      </c>
      <c r="B17" s="6" t="s">
        <v>25</v>
      </c>
      <c r="C17" s="81" t="s">
        <v>82</v>
      </c>
      <c r="D17" s="82"/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3000</v>
      </c>
      <c r="K17" s="66">
        <v>0</v>
      </c>
      <c r="L17" s="66">
        <v>1</v>
      </c>
      <c r="M17" s="66">
        <v>1</v>
      </c>
      <c r="N17" s="66">
        <v>1</v>
      </c>
      <c r="O17" s="66">
        <v>0</v>
      </c>
      <c r="P17" s="7">
        <v>0</v>
      </c>
      <c r="Q17" s="12">
        <v>0.04</v>
      </c>
      <c r="R17" s="12">
        <v>0.04</v>
      </c>
      <c r="S17" s="11">
        <v>0</v>
      </c>
      <c r="T17" s="9" t="s">
        <v>80</v>
      </c>
      <c r="U17" s="12"/>
      <c r="V17" s="14"/>
      <c r="W17" s="53"/>
      <c r="X17" s="79"/>
    </row>
    <row r="18" spans="1:24" ht="37.799999999999997" customHeight="1" x14ac:dyDescent="0.2">
      <c r="A18" s="3" t="s">
        <v>81</v>
      </c>
      <c r="B18" s="6" t="s">
        <v>25</v>
      </c>
      <c r="C18" s="81" t="s">
        <v>83</v>
      </c>
      <c r="D18" s="82"/>
      <c r="E18" s="66">
        <v>0</v>
      </c>
      <c r="F18" s="66">
        <v>0</v>
      </c>
      <c r="G18" s="66">
        <v>0</v>
      </c>
      <c r="H18" s="66">
        <v>0</v>
      </c>
      <c r="I18" s="66">
        <v>1</v>
      </c>
      <c r="J18" s="66">
        <v>3000</v>
      </c>
      <c r="K18" s="66">
        <v>0</v>
      </c>
      <c r="L18" s="66">
        <v>1</v>
      </c>
      <c r="M18" s="66">
        <v>0</v>
      </c>
      <c r="N18" s="66">
        <v>1</v>
      </c>
      <c r="O18" s="66">
        <v>1</v>
      </c>
      <c r="P18" s="7">
        <v>0</v>
      </c>
      <c r="Q18" s="12">
        <v>0.05</v>
      </c>
      <c r="R18" s="12">
        <v>0.05</v>
      </c>
      <c r="S18" s="11">
        <v>2</v>
      </c>
      <c r="T18" s="9" t="s">
        <v>80</v>
      </c>
      <c r="U18" s="12"/>
      <c r="V18" s="14"/>
      <c r="W18" s="53"/>
      <c r="X18" s="79"/>
    </row>
    <row r="19" spans="1:24" ht="37.799999999999997" customHeight="1" thickBot="1" x14ac:dyDescent="0.25">
      <c r="A19" s="3" t="s">
        <v>81</v>
      </c>
      <c r="B19" s="6" t="s">
        <v>25</v>
      </c>
      <c r="C19" s="81" t="s">
        <v>84</v>
      </c>
      <c r="D19" s="82"/>
      <c r="E19" s="66">
        <v>0</v>
      </c>
      <c r="F19" s="66">
        <v>0</v>
      </c>
      <c r="G19" s="66">
        <v>0</v>
      </c>
      <c r="H19" s="66">
        <v>0</v>
      </c>
      <c r="I19" s="66">
        <v>0</v>
      </c>
      <c r="J19" s="66">
        <v>3000</v>
      </c>
      <c r="K19" s="66">
        <v>1024</v>
      </c>
      <c r="L19" s="66">
        <v>1</v>
      </c>
      <c r="M19" s="66">
        <v>0</v>
      </c>
      <c r="N19" s="66">
        <v>1</v>
      </c>
      <c r="O19" s="66">
        <v>1</v>
      </c>
      <c r="P19" s="7">
        <v>0</v>
      </c>
      <c r="Q19" s="12">
        <v>0.06</v>
      </c>
      <c r="R19" s="12">
        <v>0.06</v>
      </c>
      <c r="S19" s="11">
        <v>0</v>
      </c>
      <c r="T19" s="9" t="s">
        <v>80</v>
      </c>
      <c r="U19" s="12"/>
      <c r="V19" s="14"/>
      <c r="W19" s="53"/>
      <c r="X19" s="79"/>
    </row>
    <row r="20" spans="1:24" ht="14.25" customHeight="1" thickTop="1" x14ac:dyDescent="0.2">
      <c r="A20" s="3" t="s">
        <v>44</v>
      </c>
      <c r="B20" s="4"/>
      <c r="C20" s="77" t="s">
        <v>24</v>
      </c>
      <c r="D20" s="78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5">
        <v>0</v>
      </c>
      <c r="Q20" s="9">
        <v>0</v>
      </c>
      <c r="R20" s="9">
        <v>0</v>
      </c>
      <c r="S20" s="10">
        <v>0</v>
      </c>
      <c r="T20" s="9"/>
      <c r="U20" s="9"/>
      <c r="V20" s="13"/>
      <c r="W20" s="9"/>
      <c r="X20" s="79"/>
    </row>
    <row r="21" spans="1:24" ht="15" customHeight="1" x14ac:dyDescent="0.2">
      <c r="A21" s="3" t="s">
        <v>45</v>
      </c>
      <c r="B21" s="6" t="s">
        <v>25</v>
      </c>
      <c r="C21" s="81"/>
      <c r="D21" s="82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7"/>
      <c r="Q21" s="12"/>
      <c r="R21" s="12"/>
      <c r="S21" s="11"/>
      <c r="T21" s="9"/>
      <c r="U21" s="12"/>
      <c r="V21" s="14"/>
      <c r="W21" s="53"/>
      <c r="X21" s="80"/>
    </row>
  </sheetData>
  <mergeCells count="33">
    <mergeCell ref="V3:V4"/>
    <mergeCell ref="W3:W4"/>
    <mergeCell ref="X3:X4"/>
    <mergeCell ref="A2:B2"/>
    <mergeCell ref="C5:D5"/>
    <mergeCell ref="Q3:Q4"/>
    <mergeCell ref="C2:D2"/>
    <mergeCell ref="R3:R4"/>
    <mergeCell ref="A3:A4"/>
    <mergeCell ref="B3:B4"/>
    <mergeCell ref="C3:D4"/>
    <mergeCell ref="T3:T4"/>
    <mergeCell ref="U3:U4"/>
    <mergeCell ref="C7:D7"/>
    <mergeCell ref="C8:D8"/>
    <mergeCell ref="C9:D9"/>
    <mergeCell ref="C6:D6"/>
    <mergeCell ref="X5:X10"/>
    <mergeCell ref="C20:D20"/>
    <mergeCell ref="X20:X21"/>
    <mergeCell ref="C21:D21"/>
    <mergeCell ref="C10:D10"/>
    <mergeCell ref="C11:D11"/>
    <mergeCell ref="X11:X12"/>
    <mergeCell ref="C12:D12"/>
    <mergeCell ref="C13:D13"/>
    <mergeCell ref="X13:X19"/>
    <mergeCell ref="C19:D19"/>
    <mergeCell ref="C14:D14"/>
    <mergeCell ref="C15:D15"/>
    <mergeCell ref="C16:D16"/>
    <mergeCell ref="C17:D17"/>
    <mergeCell ref="C18:D18"/>
  </mergeCells>
  <phoneticPr fontId="19" type="noConversion"/>
  <conditionalFormatting sqref="B5">
    <cfRule type="cellIs" dxfId="50" priority="268" stopIfTrue="1" operator="equal">
      <formula>"Pass"</formula>
    </cfRule>
    <cfRule type="cellIs" dxfId="49" priority="269" stopIfTrue="1" operator="equal">
      <formula>"Fail"</formula>
    </cfRule>
    <cfRule type="cellIs" dxfId="48" priority="270" stopIfTrue="1" operator="equal">
      <formula>"NotTest"</formula>
    </cfRule>
  </conditionalFormatting>
  <conditionalFormatting sqref="T5:V5 T10:V10">
    <cfRule type="cellIs" dxfId="47" priority="263" stopIfTrue="1" operator="equal">
      <formula>"PASS"</formula>
    </cfRule>
    <cfRule type="cellIs" dxfId="46" priority="264" stopIfTrue="1" operator="equal">
      <formula>"FAIL"</formula>
    </cfRule>
  </conditionalFormatting>
  <conditionalFormatting sqref="P2">
    <cfRule type="cellIs" dxfId="45" priority="59" operator="notEqual">
      <formula>#REF!</formula>
    </cfRule>
  </conditionalFormatting>
  <conditionalFormatting sqref="P2">
    <cfRule type="cellIs" dxfId="44" priority="57" operator="equal">
      <formula>"Pass"</formula>
    </cfRule>
    <cfRule type="cellIs" dxfId="43" priority="58" operator="equal">
      <formula>"Fail"</formula>
    </cfRule>
  </conditionalFormatting>
  <conditionalFormatting sqref="Q2">
    <cfRule type="cellIs" dxfId="42" priority="50" operator="notEqual">
      <formula>#REF!</formula>
    </cfRule>
  </conditionalFormatting>
  <conditionalFormatting sqref="Q2">
    <cfRule type="cellIs" dxfId="41" priority="48" operator="equal">
      <formula>"Pass"</formula>
    </cfRule>
    <cfRule type="cellIs" dxfId="40" priority="49" operator="equal">
      <formula>"Fail"</formula>
    </cfRule>
  </conditionalFormatting>
  <conditionalFormatting sqref="R2">
    <cfRule type="cellIs" dxfId="39" priority="47" operator="notEqual">
      <formula>#REF!</formula>
    </cfRule>
  </conditionalFormatting>
  <conditionalFormatting sqref="R2">
    <cfRule type="cellIs" dxfId="38" priority="45" operator="equal">
      <formula>"Pass"</formula>
    </cfRule>
    <cfRule type="cellIs" dxfId="37" priority="46" operator="equal">
      <formula>"Fail"</formula>
    </cfRule>
  </conditionalFormatting>
  <conditionalFormatting sqref="B20">
    <cfRule type="cellIs" dxfId="36" priority="42" stopIfTrue="1" operator="equal">
      <formula>"Pass"</formula>
    </cfRule>
    <cfRule type="cellIs" dxfId="35" priority="43" stopIfTrue="1" operator="equal">
      <formula>"Fail"</formula>
    </cfRule>
    <cfRule type="cellIs" dxfId="34" priority="44" stopIfTrue="1" operator="equal">
      <formula>"NotTest"</formula>
    </cfRule>
  </conditionalFormatting>
  <conditionalFormatting sqref="T20:V21">
    <cfRule type="cellIs" dxfId="33" priority="40" stopIfTrue="1" operator="equal">
      <formula>"PASS"</formula>
    </cfRule>
    <cfRule type="cellIs" dxfId="32" priority="41" stopIfTrue="1" operator="equal">
      <formula>"FAIL"</formula>
    </cfRule>
  </conditionalFormatting>
  <conditionalFormatting sqref="T7:V7">
    <cfRule type="cellIs" dxfId="31" priority="35" stopIfTrue="1" operator="equal">
      <formula>"PASS"</formula>
    </cfRule>
    <cfRule type="cellIs" dxfId="30" priority="36" stopIfTrue="1" operator="equal">
      <formula>"FAIL"</formula>
    </cfRule>
  </conditionalFormatting>
  <conditionalFormatting sqref="T8:V8">
    <cfRule type="cellIs" dxfId="29" priority="33" stopIfTrue="1" operator="equal">
      <formula>"PASS"</formula>
    </cfRule>
    <cfRule type="cellIs" dxfId="28" priority="34" stopIfTrue="1" operator="equal">
      <formula>"FAIL"</formula>
    </cfRule>
  </conditionalFormatting>
  <conditionalFormatting sqref="T9:V9">
    <cfRule type="cellIs" dxfId="27" priority="31" stopIfTrue="1" operator="equal">
      <formula>"PASS"</formula>
    </cfRule>
    <cfRule type="cellIs" dxfId="26" priority="32" stopIfTrue="1" operator="equal">
      <formula>"FAIL"</formula>
    </cfRule>
  </conditionalFormatting>
  <conditionalFormatting sqref="B11">
    <cfRule type="cellIs" dxfId="25" priority="28" stopIfTrue="1" operator="equal">
      <formula>"Pass"</formula>
    </cfRule>
    <cfRule type="cellIs" dxfId="24" priority="29" stopIfTrue="1" operator="equal">
      <formula>"Fail"</formula>
    </cfRule>
    <cfRule type="cellIs" dxfId="23" priority="30" stopIfTrue="1" operator="equal">
      <formula>"NotTest"</formula>
    </cfRule>
  </conditionalFormatting>
  <conditionalFormatting sqref="T11:V11">
    <cfRule type="cellIs" dxfId="22" priority="26" stopIfTrue="1" operator="equal">
      <formula>"PASS"</formula>
    </cfRule>
    <cfRule type="cellIs" dxfId="21" priority="27" stopIfTrue="1" operator="equal">
      <formula>"FAIL"</formula>
    </cfRule>
  </conditionalFormatting>
  <conditionalFormatting sqref="T12:V12">
    <cfRule type="cellIs" dxfId="20" priority="24" stopIfTrue="1" operator="equal">
      <formula>"PASS"</formula>
    </cfRule>
    <cfRule type="cellIs" dxfId="19" priority="25" stopIfTrue="1" operator="equal">
      <formula>"FAIL"</formula>
    </cfRule>
  </conditionalFormatting>
  <conditionalFormatting sqref="T6:V6">
    <cfRule type="cellIs" dxfId="18" priority="18" stopIfTrue="1" operator="equal">
      <formula>"PASS"</formula>
    </cfRule>
    <cfRule type="cellIs" dxfId="17" priority="19" stopIfTrue="1" operator="equal">
      <formula>"FAIL"</formula>
    </cfRule>
  </conditionalFormatting>
  <conditionalFormatting sqref="B13">
    <cfRule type="cellIs" dxfId="16" priority="15" stopIfTrue="1" operator="equal">
      <formula>"Pass"</formula>
    </cfRule>
    <cfRule type="cellIs" dxfId="15" priority="16" stopIfTrue="1" operator="equal">
      <formula>"Fail"</formula>
    </cfRule>
    <cfRule type="cellIs" dxfId="14" priority="17" stopIfTrue="1" operator="equal">
      <formula>"NotTest"</formula>
    </cfRule>
  </conditionalFormatting>
  <conditionalFormatting sqref="T13:V13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T19:V1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T14:V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T15:V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T16:V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T17:V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T18:V1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P2">
      <formula1>"ZOH,INT"</formula1>
    </dataValidation>
    <dataValidation type="list" allowBlank="1" showInputMessage="1" showErrorMessage="1" sqref="T5:T21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2024-08-08T04:10:26Z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