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PassStFtTrgtPosSelc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TEMP!$A$1:$A$12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K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L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Y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K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L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M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Z3" authorId="3" shapeId="0">
      <text>
        <r>
          <rPr>
            <sz val="9"/>
            <rFont val="宋体"/>
            <charset val="134"/>
          </rPr>
          <t>测试结果</t>
        </r>
      </text>
    </comment>
    <comment ref="AA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B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Y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<sst xmlns="http://schemas.openxmlformats.org/spreadsheetml/2006/main" count="148" uniqueCount="108">
  <si>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</si>
  <si>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</si>
  <si>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</si>
  <si>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</si>
  <si>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</si>
  <si>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</si>
  <si>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</si>
  <si>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</si>
  <si>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</si>
  <si>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</si>
  <si>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</si>
  <si>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</si>
  <si>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</si>
  <si>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</si>
  <si>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</si>
  <si>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</si>
  <si>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</si>
  <si>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</si>
  <si>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</si>
  <si>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</si>
  <si>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</si>
  <si>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</si>
  <si>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</si>
  <si>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</si>
  <si>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</si>
  <si>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</si>
  <si>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</si>
  <si>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</si>
  <si>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</si>
  <si>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</si>
  <si>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</si>
  <si>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</si>
  <si>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</si>
  <si>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</si>
  <si>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</si>
  <si>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</si>
  <si>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</si>
  <si>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</si>
  <si>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</si>
  <si>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</si>
  <si>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</si>
  <si>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</si>
  <si>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</si>
  <si>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8" type="noConversion"/>
  </si>
  <si>
    <t>IfVeSMSbPassStBkReclnUpwdDnwdMovConfig_Val</t>
  </si>
  <si>
    <t>IfVeSMSuPassStBkReclnUpwdDnwdPos_Val</t>
  </si>
  <si>
    <t>IfVeSMSuPassStBkReclnUpwdDnwdPosV_Val</t>
  </si>
  <si>
    <t>StNumFlg_Is6s</t>
  </si>
  <si>
    <t>StNumFlg_Is4s</t>
  </si>
  <si>
    <t>StNumFlg_Is6s7s</t>
  </si>
  <si>
    <t>StNumFlg_Is7s</t>
  </si>
  <si>
    <t>EZEPassStFtTrgtPosCalib_TrgtPosArray(1)</t>
  </si>
  <si>
    <t>EZEPassStFtTrgtPosCalib_TrgtPosArray(2)</t>
  </si>
  <si>
    <t>EZEPassStFtTrgtPosCalib_TrgtPosArray(3)</t>
  </si>
  <si>
    <t>EZQPassStFtTrgtPosCalib_TrgtPosArray(1)</t>
  </si>
  <si>
    <t>EZQPassStFtTrgtPosCalib_TrgtPosArray(2)</t>
  </si>
  <si>
    <t>EZQPassStFtTrgtPosCalib_TrgtPosArray(3)</t>
  </si>
  <si>
    <t>RecvLPassStFtTrgtPosCalib_TrgtPosArray(1)</t>
  </si>
  <si>
    <t>RecvLPassStFtTrgtPosCalib_TrgtPosArray(2)</t>
  </si>
  <si>
    <t>RecvLPassStFtTrgtPosCalib_TrgtPosArray(3)</t>
  </si>
  <si>
    <t>VIPLPassStFtTrgtPosCalib_TrgtPosArray(1)</t>
  </si>
  <si>
    <t>VIPLPassStFtTrgtPosCalib_TrgtPosArray(2)</t>
  </si>
  <si>
    <t>VIPLPassStFtTrgtPosCalib_TrgtPosArray(3)</t>
  </si>
  <si>
    <t>KeSMSuSecRwStVIPFtrstRefAngle_Val</t>
  </si>
  <si>
    <t>uint8</t>
  </si>
  <si>
    <t>KeSMSw6sAcsEntryPassStFtUpwdDnwdPosMiax_Val</t>
  </si>
  <si>
    <t>uint16</t>
  </si>
  <si>
    <t>KeSMSw6sAcsEntryPassStFtUpwdDnwdPosMin_Val</t>
  </si>
  <si>
    <t>KeSMSw6sAcsEntryPassStFtUpwdDnwdPos_Val</t>
  </si>
  <si>
    <t>KeSMSw6sAcsExtPassStFtUpwdDnwdPosMax_Val</t>
  </si>
  <si>
    <t>KeSMSw6sAcsExtPassStFtUpwdDnwdPosMin_Val</t>
  </si>
  <si>
    <t>KeSMSw6sAcsExtPassStFtUpwdDnwdPos_Val</t>
  </si>
  <si>
    <t>KeSMSw6sRecoveryPassStStFtUpwdDnwdPosMax_Val</t>
  </si>
  <si>
    <t>KeSMSw6sRecoveryPassStStFtUpwdDnwdPosMin_Val</t>
  </si>
  <si>
    <t>KeSMSw6sRecoveryPassStStFtUpwdDnwdPos_Val</t>
  </si>
  <si>
    <t>KeSMSwAcsEntryPassStFtUpwdDnwdPosMiax_Val</t>
  </si>
  <si>
    <t>KeSMSwAcsEntryPassStFtUpwdDnwdPosMin_Val</t>
  </si>
  <si>
    <t>KeSMSwAcsEntryPassStFtUpwdDnwdPos_Val</t>
  </si>
  <si>
    <t>KeSMSwAcsExtPassStFtUpwdDnwdPosMax_Val</t>
  </si>
  <si>
    <t>KeSMSwAcsExtPassStFtUpwdDnwdPosMin_Val</t>
  </si>
  <si>
    <t>KeSMSwAcsExtPassStFtUpwdDnwdPos_Val</t>
  </si>
  <si>
    <t>KeSMSwRecoveryPassStStFtUpwdDnwdPosMax_Val</t>
  </si>
  <si>
    <t>KeSMSwRecoveryPassStStFtUpwdDnwdPosMin_Val</t>
  </si>
  <si>
    <t>KeSMSwRecoveryPassStStFtUpwdDnwdPos_Val</t>
  </si>
  <si>
    <t>Pass</t>
    <phoneticPr fontId="18" type="noConversion"/>
  </si>
  <si>
    <r>
      <t>is</t>
    </r>
    <r>
      <rPr>
        <sz val="11"/>
        <color indexed="10"/>
        <rFont val="宋体"/>
        <family val="3"/>
        <charset val="134"/>
      </rPr>
      <t>6</t>
    </r>
    <r>
      <rPr>
        <sz val="11"/>
        <color indexed="10"/>
        <rFont val="宋体"/>
        <family val="3"/>
        <charset val="134"/>
      </rPr>
      <t>s</t>
    </r>
    <phoneticPr fontId="18" type="noConversion"/>
  </si>
  <si>
    <t>is6s,notconfig</t>
    <phoneticPr fontId="18" type="noConversion"/>
  </si>
  <si>
    <t>is6s,notValid</t>
    <phoneticPr fontId="18" type="noConversion"/>
  </si>
  <si>
    <t>is6s,bkReclnPos=2000</t>
    <phoneticPr fontId="18" type="noConversion"/>
  </si>
  <si>
    <t>is7s</t>
    <phoneticPr fontId="18" type="noConversion"/>
  </si>
  <si>
    <t>is4s</t>
    <phoneticPr fontId="18" type="noConversion"/>
  </si>
  <si>
    <t>PassStFtTrgtPosSelc-0010</t>
    <phoneticPr fontId="18" type="noConversion"/>
  </si>
  <si>
    <t>PassStFtTrgtPosSelc-0020</t>
    <phoneticPr fontId="18" type="noConversion"/>
  </si>
  <si>
    <t>Cal1</t>
    <phoneticPr fontId="18" type="noConversion"/>
  </si>
  <si>
    <t>Test Case Name</t>
    <phoneticPr fontId="18" type="noConversion"/>
  </si>
  <si>
    <t>Description</t>
    <phoneticPr fontId="18" type="noConversion"/>
  </si>
  <si>
    <t>CalSet</t>
    <phoneticPr fontId="18" type="noConversion"/>
  </si>
  <si>
    <t>Requirements</t>
    <phoneticPr fontId="18" type="noConversion"/>
  </si>
  <si>
    <t>Functional Test Result</t>
    <phoneticPr fontId="18" type="noConversion"/>
  </si>
  <si>
    <t>mil_sil result</t>
    <phoneticPr fontId="18" type="noConversion"/>
  </si>
  <si>
    <t>tester</t>
    <phoneticPr fontId="18" type="noConversion"/>
  </si>
  <si>
    <t>date</t>
    <phoneticPr fontId="18" type="noConversion"/>
  </si>
  <si>
    <t>notes</t>
    <phoneticPr fontId="18" type="noConversion"/>
  </si>
  <si>
    <t>PassStFtTrgtPosSelc-0010</t>
    <phoneticPr fontId="18" type="noConversion"/>
  </si>
  <si>
    <t>Default</t>
    <phoneticPr fontId="18" type="noConversion"/>
  </si>
  <si>
    <t>PassStFtTrgtPosSelc-0020</t>
    <phoneticPr fontId="18" type="noConversion"/>
  </si>
  <si>
    <t>Cal1</t>
    <phoneticPr fontId="18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</si>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</sst>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2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7.6" x14ac:dyDescent="0.2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2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3.8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E15" sqref="E15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94</v>
      </c>
      <c r="B1" s="54" t="s">
        <v>95</v>
      </c>
      <c r="C1" s="54" t="s">
        <v>96</v>
      </c>
      <c r="D1" s="54" t="s">
        <v>97</v>
      </c>
      <c r="E1" s="54" t="s">
        <v>98</v>
      </c>
      <c r="F1" s="54" t="s">
        <v>99</v>
      </c>
      <c r="G1" s="54" t="s">
        <v>100</v>
      </c>
      <c r="H1" s="54" t="s">
        <v>101</v>
      </c>
      <c r="I1" s="54" t="s">
        <v>102</v>
      </c>
    </row>
    <row r="2" spans="1:9" ht="15.9" customHeight="1" x14ac:dyDescent="0.2">
      <c r="A2" s="3" t="s">
        <v>103</v>
      </c>
      <c r="C2" s="56" t="s">
        <v>104</v>
      </c>
      <c r="E2" s="55" t="s">
        <v>107</v>
      </c>
    </row>
    <row r="3" spans="1:9" ht="15.9" customHeight="1" x14ac:dyDescent="0.2">
      <c r="A3" s="3" t="s">
        <v>105</v>
      </c>
      <c r="C3" s="57" t="s">
        <v>106</v>
      </c>
      <c r="E3" s="55" t="s">
        <v>107</v>
      </c>
    </row>
  </sheetData>
  <phoneticPr fontId="18" type="noConversion"/>
  <conditionalFormatting sqref="E1:F1048576">
    <cfRule type="cellIs" dxfId="32" priority="2" operator="equal">
      <formula>"Fail"</formula>
    </cfRule>
    <cfRule type="cellIs" dxfId="31" priority="3" operator="equal">
      <formula>"Pass"</formula>
    </cfRule>
  </conditionalFormatting>
  <conditionalFormatting sqref="C3">
    <cfRule type="cellIs" dxfId="30" priority="1" operator="notEqual">
      <formula>#REF!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H1" sqref="H1:H2"/>
    </sheetView>
  </sheetViews>
  <sheetFormatPr defaultColWidth="9.109375" defaultRowHeight="15.9" customHeight="1" x14ac:dyDescent="0.25"/>
  <cols>
    <col min="1" max="1" width="49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8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  <c r="H1" s="57" t="s">
        <v>93</v>
      </c>
    </row>
    <row r="2" spans="1:8" ht="15.9" customHeight="1" x14ac:dyDescent="0.25">
      <c r="A2" s="55" t="s">
        <v>63</v>
      </c>
      <c r="D2" s="59" t="s">
        <v>64</v>
      </c>
      <c r="G2" s="59">
        <v>110</v>
      </c>
      <c r="H2" s="55">
        <v>0</v>
      </c>
    </row>
    <row r="3" spans="1:8" ht="15.9" customHeight="1" x14ac:dyDescent="0.25">
      <c r="A3" s="55" t="s">
        <v>65</v>
      </c>
      <c r="D3" s="59" t="s">
        <v>66</v>
      </c>
      <c r="G3" s="59">
        <v>1</v>
      </c>
    </row>
    <row r="4" spans="1:8" ht="15.9" customHeight="1" x14ac:dyDescent="0.25">
      <c r="A4" s="55" t="s">
        <v>67</v>
      </c>
      <c r="D4" s="59" t="s">
        <v>66</v>
      </c>
      <c r="G4" s="59">
        <v>2</v>
      </c>
    </row>
    <row r="5" spans="1:8" ht="15.9" customHeight="1" x14ac:dyDescent="0.25">
      <c r="A5" s="55" t="s">
        <v>68</v>
      </c>
      <c r="D5" s="59" t="s">
        <v>66</v>
      </c>
      <c r="G5" s="59">
        <v>3</v>
      </c>
    </row>
    <row r="6" spans="1:8" ht="15.9" customHeight="1" x14ac:dyDescent="0.25">
      <c r="A6" s="55" t="s">
        <v>69</v>
      </c>
      <c r="D6" s="59" t="s">
        <v>66</v>
      </c>
      <c r="G6" s="59">
        <v>4</v>
      </c>
    </row>
    <row r="7" spans="1:8" ht="15.9" customHeight="1" x14ac:dyDescent="0.25">
      <c r="A7" s="55" t="s">
        <v>70</v>
      </c>
      <c r="D7" s="59" t="s">
        <v>66</v>
      </c>
      <c r="G7" s="59">
        <v>5</v>
      </c>
    </row>
    <row r="8" spans="1:8" ht="15.9" customHeight="1" x14ac:dyDescent="0.25">
      <c r="A8" s="55" t="s">
        <v>71</v>
      </c>
      <c r="D8" s="59" t="s">
        <v>66</v>
      </c>
      <c r="G8" s="59">
        <v>6</v>
      </c>
    </row>
    <row r="9" spans="1:8" ht="15.9" customHeight="1" x14ac:dyDescent="0.25">
      <c r="A9" s="55" t="s">
        <v>72</v>
      </c>
      <c r="D9" s="59" t="s">
        <v>66</v>
      </c>
      <c r="G9" s="59">
        <v>7</v>
      </c>
    </row>
    <row r="10" spans="1:8" ht="15.9" customHeight="1" x14ac:dyDescent="0.25">
      <c r="A10" s="55" t="s">
        <v>73</v>
      </c>
      <c r="D10" s="59" t="s">
        <v>66</v>
      </c>
      <c r="G10" s="59">
        <v>8</v>
      </c>
    </row>
    <row r="11" spans="1:8" ht="15.9" customHeight="1" x14ac:dyDescent="0.25">
      <c r="A11" s="55" t="s">
        <v>74</v>
      </c>
      <c r="D11" s="59" t="s">
        <v>66</v>
      </c>
      <c r="G11" s="59">
        <v>9</v>
      </c>
    </row>
    <row r="12" spans="1:8" ht="15.9" customHeight="1" x14ac:dyDescent="0.25">
      <c r="A12" s="55" t="s">
        <v>75</v>
      </c>
      <c r="D12" s="59" t="s">
        <v>66</v>
      </c>
      <c r="G12" s="59">
        <v>10</v>
      </c>
    </row>
    <row r="13" spans="1:8" ht="15.9" customHeight="1" x14ac:dyDescent="0.25">
      <c r="A13" s="55" t="s">
        <v>76</v>
      </c>
      <c r="D13" s="59" t="s">
        <v>66</v>
      </c>
      <c r="G13" s="59">
        <v>11</v>
      </c>
    </row>
    <row r="14" spans="1:8" ht="15.9" customHeight="1" x14ac:dyDescent="0.25">
      <c r="A14" s="55" t="s">
        <v>77</v>
      </c>
      <c r="D14" s="59" t="s">
        <v>66</v>
      </c>
      <c r="G14" s="59">
        <v>12</v>
      </c>
    </row>
    <row r="15" spans="1:8" ht="15.9" customHeight="1" x14ac:dyDescent="0.25">
      <c r="A15" s="55" t="s">
        <v>78</v>
      </c>
      <c r="D15" s="59" t="s">
        <v>66</v>
      </c>
      <c r="G15" s="59">
        <v>13</v>
      </c>
    </row>
    <row r="16" spans="1:8" ht="15.9" customHeight="1" x14ac:dyDescent="0.25">
      <c r="A16" s="55" t="s">
        <v>79</v>
      </c>
      <c r="D16" s="59" t="s">
        <v>66</v>
      </c>
      <c r="G16" s="59">
        <v>14</v>
      </c>
    </row>
    <row r="17" spans="1:7" ht="15.9" customHeight="1" x14ac:dyDescent="0.25">
      <c r="A17" s="55" t="s">
        <v>80</v>
      </c>
      <c r="D17" s="59" t="s">
        <v>66</v>
      </c>
      <c r="G17" s="59">
        <v>15</v>
      </c>
    </row>
    <row r="18" spans="1:7" ht="15.9" customHeight="1" x14ac:dyDescent="0.25">
      <c r="A18" s="55" t="s">
        <v>81</v>
      </c>
      <c r="D18" s="59" t="s">
        <v>66</v>
      </c>
      <c r="G18" s="59">
        <v>16</v>
      </c>
    </row>
    <row r="19" spans="1:7" ht="15.9" customHeight="1" x14ac:dyDescent="0.25">
      <c r="A19" s="55" t="s">
        <v>82</v>
      </c>
      <c r="D19" s="59" t="s">
        <v>66</v>
      </c>
      <c r="G19" s="59">
        <v>17</v>
      </c>
    </row>
    <row r="20" spans="1:7" ht="15.9" customHeight="1" x14ac:dyDescent="0.25">
      <c r="A20" s="55" t="s">
        <v>83</v>
      </c>
      <c r="D20" s="59" t="s">
        <v>66</v>
      </c>
      <c r="G20" s="59">
        <v>18</v>
      </c>
    </row>
  </sheetData>
  <phoneticPr fontId="18" type="noConversion"/>
  <conditionalFormatting sqref="I1:XET1">
    <cfRule type="cellIs" dxfId="29" priority="2" operator="notEqual">
      <formula>#REF!</formula>
    </cfRule>
  </conditionalFormatting>
  <conditionalFormatting sqref="XEU1:XFD1">
    <cfRule type="cellIs" dxfId="28" priority="3" operator="notEqual">
      <formula>XES1046943</formula>
    </cfRule>
  </conditionalFormatting>
  <conditionalFormatting sqref="H1">
    <cfRule type="cellIs" dxfId="27" priority="1" operator="notEqual">
      <formula>#REF!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12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6" sqref="E6:E9"/>
    </sheetView>
  </sheetViews>
  <sheetFormatPr defaultColWidth="9" defaultRowHeight="14.4" x14ac:dyDescent="0.25"/>
  <cols>
    <col min="1" max="1" width="21" bestFit="1" customWidth="1"/>
    <col min="3" max="3" width="11" customWidth="1"/>
    <col min="4" max="4" width="10.44140625" customWidth="1"/>
    <col min="5" max="5" width="41.5546875" bestFit="1" customWidth="1"/>
    <col min="6" max="6" width="36.44140625" bestFit="1" customWidth="1"/>
    <col min="7" max="7" width="37.5546875" bestFit="1" customWidth="1"/>
    <col min="8" max="9" width="12.6640625" bestFit="1" customWidth="1"/>
    <col min="10" max="10" width="14.6640625" bestFit="1" customWidth="1"/>
    <col min="11" max="11" width="12.6640625" bestFit="1" customWidth="1"/>
    <col min="12" max="13" width="8.5546875" bestFit="1" customWidth="1"/>
    <col min="14" max="16" width="35.33203125" bestFit="1" customWidth="1"/>
    <col min="17" max="19" width="35.6640625" bestFit="1" customWidth="1"/>
    <col min="20" max="22" width="37.109375" bestFit="1" customWidth="1"/>
    <col min="23" max="25" width="35.6640625" bestFit="1" customWidth="1"/>
  </cols>
  <sheetData>
    <row r="1" spans="1:30" x14ac:dyDescent="0.2">
      <c r="A1" s="1" t="s">
        <v>34</v>
      </c>
      <c r="B1" s="1"/>
      <c r="C1" s="1"/>
      <c r="D1" s="1"/>
      <c r="E1" s="1"/>
      <c r="F1" s="1"/>
    </row>
    <row r="2" spans="1:30" ht="13.5" customHeight="1" x14ac:dyDescent="0.25">
      <c r="A2" s="82" t="s">
        <v>32</v>
      </c>
      <c r="B2" s="83"/>
      <c r="C2" s="86" t="s">
        <v>33</v>
      </c>
      <c r="D2" s="87"/>
      <c r="E2" s="66"/>
      <c r="F2" s="66"/>
      <c r="G2" s="66"/>
      <c r="H2" s="66"/>
      <c r="I2" s="66"/>
      <c r="J2" s="66"/>
      <c r="K2" s="60" t="s">
        <v>42</v>
      </c>
      <c r="L2" s="61" t="s">
        <v>43</v>
      </c>
      <c r="M2" s="61" t="s">
        <v>43</v>
      </c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</row>
    <row r="3" spans="1:30" x14ac:dyDescent="0.2">
      <c r="A3" s="90" t="s">
        <v>13</v>
      </c>
      <c r="B3" s="90" t="s">
        <v>14</v>
      </c>
      <c r="C3" s="92" t="s">
        <v>15</v>
      </c>
      <c r="D3" s="93"/>
      <c r="E3" s="70"/>
      <c r="F3" s="70"/>
      <c r="G3" s="70"/>
      <c r="H3" s="70"/>
      <c r="I3" s="70"/>
      <c r="J3" s="70"/>
      <c r="K3" s="62" t="s">
        <v>16</v>
      </c>
      <c r="L3" s="84" t="s">
        <v>17</v>
      </c>
      <c r="M3" s="88" t="s">
        <v>18</v>
      </c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3" t="s">
        <v>19</v>
      </c>
      <c r="Z3" s="101" t="s">
        <v>20</v>
      </c>
      <c r="AA3" s="99" t="s">
        <v>21</v>
      </c>
      <c r="AB3" s="99" t="s">
        <v>3</v>
      </c>
      <c r="AC3" s="101" t="s">
        <v>22</v>
      </c>
      <c r="AD3" s="101" t="s">
        <v>23</v>
      </c>
    </row>
    <row r="4" spans="1:30" ht="15" thickBot="1" x14ac:dyDescent="0.25">
      <c r="A4" s="91"/>
      <c r="B4" s="91"/>
      <c r="C4" s="94"/>
      <c r="D4" s="95"/>
      <c r="E4" s="71" t="s">
        <v>47</v>
      </c>
      <c r="F4" s="71" t="s">
        <v>44</v>
      </c>
      <c r="G4" s="71" t="s">
        <v>45</v>
      </c>
      <c r="H4" s="71" t="s">
        <v>46</v>
      </c>
      <c r="I4" s="71" t="s">
        <v>48</v>
      </c>
      <c r="J4" s="71" t="s">
        <v>49</v>
      </c>
      <c r="K4" s="2" t="s">
        <v>50</v>
      </c>
      <c r="L4" s="85"/>
      <c r="M4" s="89"/>
      <c r="N4" s="64" t="s">
        <v>51</v>
      </c>
      <c r="O4" s="64" t="s">
        <v>52</v>
      </c>
      <c r="P4" s="64" t="s">
        <v>53</v>
      </c>
      <c r="Q4" s="64" t="s">
        <v>54</v>
      </c>
      <c r="R4" s="64" t="s">
        <v>55</v>
      </c>
      <c r="S4" s="64" t="s">
        <v>56</v>
      </c>
      <c r="T4" s="64" t="s">
        <v>57</v>
      </c>
      <c r="U4" s="64" t="s">
        <v>58</v>
      </c>
      <c r="V4" s="64" t="s">
        <v>59</v>
      </c>
      <c r="W4" s="64" t="s">
        <v>60</v>
      </c>
      <c r="X4" s="64" t="s">
        <v>61</v>
      </c>
      <c r="Y4" s="8" t="s">
        <v>62</v>
      </c>
      <c r="Z4" s="102"/>
      <c r="AA4" s="100"/>
      <c r="AB4" s="100"/>
      <c r="AC4" s="102"/>
      <c r="AD4" s="99"/>
    </row>
    <row r="5" spans="1:30" ht="14.25" customHeight="1" thickTop="1" x14ac:dyDescent="0.2">
      <c r="A5" s="3" t="s">
        <v>91</v>
      </c>
      <c r="B5" s="4"/>
      <c r="C5" s="96" t="s">
        <v>24</v>
      </c>
      <c r="D5" s="97"/>
      <c r="E5" s="67">
        <v>0</v>
      </c>
      <c r="F5" s="67">
        <v>1</v>
      </c>
      <c r="G5" s="67">
        <v>0</v>
      </c>
      <c r="H5" s="67">
        <v>0</v>
      </c>
      <c r="I5" s="67">
        <v>0</v>
      </c>
      <c r="J5" s="67">
        <v>0</v>
      </c>
      <c r="K5" s="5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10">
        <v>0</v>
      </c>
      <c r="Z5" s="9" t="s">
        <v>84</v>
      </c>
      <c r="AA5" s="9"/>
      <c r="AB5" s="13"/>
      <c r="AC5" s="9"/>
      <c r="AD5" s="103"/>
    </row>
    <row r="6" spans="1:30" ht="15.6" customHeight="1" x14ac:dyDescent="0.2">
      <c r="A6" s="3" t="s">
        <v>91</v>
      </c>
      <c r="B6" s="6" t="s">
        <v>25</v>
      </c>
      <c r="C6" s="98" t="s">
        <v>85</v>
      </c>
      <c r="D6" s="98"/>
      <c r="E6" s="72">
        <v>1</v>
      </c>
      <c r="F6" s="72">
        <v>1</v>
      </c>
      <c r="G6" s="72">
        <v>0</v>
      </c>
      <c r="H6" s="72">
        <v>0</v>
      </c>
      <c r="I6" s="72">
        <v>0</v>
      </c>
      <c r="J6" s="72">
        <v>1</v>
      </c>
      <c r="K6" s="7">
        <v>0</v>
      </c>
      <c r="L6" s="12">
        <v>0.01</v>
      </c>
      <c r="M6" s="12">
        <v>0.01</v>
      </c>
      <c r="N6" s="69">
        <v>3</v>
      </c>
      <c r="O6" s="69">
        <v>1</v>
      </c>
      <c r="P6" s="69">
        <v>2</v>
      </c>
      <c r="Q6" s="69">
        <v>6</v>
      </c>
      <c r="R6" s="69">
        <v>4</v>
      </c>
      <c r="S6" s="69">
        <v>5</v>
      </c>
      <c r="T6" s="69">
        <v>0</v>
      </c>
      <c r="U6" s="69">
        <v>0</v>
      </c>
      <c r="V6" s="69">
        <v>0</v>
      </c>
      <c r="W6" s="69">
        <v>4000</v>
      </c>
      <c r="X6" s="69">
        <v>4000</v>
      </c>
      <c r="Y6" s="11">
        <v>4000</v>
      </c>
      <c r="Z6" s="9" t="s">
        <v>84</v>
      </c>
      <c r="AA6" s="12"/>
      <c r="AB6" s="14"/>
      <c r="AC6" s="53"/>
      <c r="AD6" s="104"/>
    </row>
    <row r="7" spans="1:30" ht="15.6" customHeight="1" x14ac:dyDescent="0.2">
      <c r="A7" s="3" t="s">
        <v>91</v>
      </c>
      <c r="B7" s="6" t="s">
        <v>25</v>
      </c>
      <c r="C7" s="98" t="s">
        <v>86</v>
      </c>
      <c r="D7" s="98"/>
      <c r="E7" s="72">
        <v>1</v>
      </c>
      <c r="F7" s="72">
        <v>0</v>
      </c>
      <c r="G7" s="72">
        <v>0</v>
      </c>
      <c r="H7" s="72">
        <v>0</v>
      </c>
      <c r="I7" s="72">
        <v>0</v>
      </c>
      <c r="J7" s="72">
        <v>1</v>
      </c>
      <c r="K7" s="7">
        <v>0</v>
      </c>
      <c r="L7" s="12">
        <v>0.02</v>
      </c>
      <c r="M7" s="12">
        <v>0.02</v>
      </c>
      <c r="N7" s="69">
        <v>3</v>
      </c>
      <c r="O7" s="69">
        <v>1</v>
      </c>
      <c r="P7" s="69">
        <v>2</v>
      </c>
      <c r="Q7" s="69">
        <v>6</v>
      </c>
      <c r="R7" s="69">
        <v>4</v>
      </c>
      <c r="S7" s="69">
        <v>5</v>
      </c>
      <c r="T7" s="69">
        <v>0</v>
      </c>
      <c r="U7" s="69">
        <v>0</v>
      </c>
      <c r="V7" s="69">
        <v>0</v>
      </c>
      <c r="W7" s="69">
        <v>4000</v>
      </c>
      <c r="X7" s="69">
        <v>4000</v>
      </c>
      <c r="Y7" s="11">
        <v>4000</v>
      </c>
      <c r="Z7" s="9" t="s">
        <v>84</v>
      </c>
      <c r="AA7" s="12"/>
      <c r="AB7" s="14"/>
      <c r="AC7" s="53"/>
      <c r="AD7" s="65"/>
    </row>
    <row r="8" spans="1:30" ht="15.6" customHeight="1" x14ac:dyDescent="0.2">
      <c r="A8" s="3" t="s">
        <v>91</v>
      </c>
      <c r="B8" s="6" t="s">
        <v>25</v>
      </c>
      <c r="C8" s="98" t="s">
        <v>87</v>
      </c>
      <c r="D8" s="98"/>
      <c r="E8" s="72">
        <v>1</v>
      </c>
      <c r="F8" s="72">
        <v>1</v>
      </c>
      <c r="G8" s="72">
        <v>0</v>
      </c>
      <c r="H8" s="72">
        <v>1</v>
      </c>
      <c r="I8" s="72">
        <v>0</v>
      </c>
      <c r="J8" s="72">
        <v>1</v>
      </c>
      <c r="K8" s="7">
        <v>0</v>
      </c>
      <c r="L8" s="12">
        <v>0.03</v>
      </c>
      <c r="M8" s="12">
        <v>0.03</v>
      </c>
      <c r="N8" s="69">
        <v>3</v>
      </c>
      <c r="O8" s="69">
        <v>1</v>
      </c>
      <c r="P8" s="69">
        <v>2</v>
      </c>
      <c r="Q8" s="69">
        <v>6</v>
      </c>
      <c r="R8" s="69">
        <v>4</v>
      </c>
      <c r="S8" s="69">
        <v>5</v>
      </c>
      <c r="T8" s="69">
        <v>0</v>
      </c>
      <c r="U8" s="69">
        <v>0</v>
      </c>
      <c r="V8" s="69">
        <v>0</v>
      </c>
      <c r="W8" s="69">
        <v>4000</v>
      </c>
      <c r="X8" s="69">
        <v>4000</v>
      </c>
      <c r="Y8" s="11">
        <v>4000</v>
      </c>
      <c r="Z8" s="9" t="s">
        <v>84</v>
      </c>
      <c r="AA8" s="12"/>
      <c r="AB8" s="14"/>
      <c r="AC8" s="53"/>
      <c r="AD8" s="65"/>
    </row>
    <row r="9" spans="1:30" ht="15.6" customHeight="1" thickBot="1" x14ac:dyDescent="0.25">
      <c r="A9" s="3" t="s">
        <v>91</v>
      </c>
      <c r="B9" s="6" t="s">
        <v>25</v>
      </c>
      <c r="C9" s="98" t="s">
        <v>88</v>
      </c>
      <c r="D9" s="98"/>
      <c r="E9" s="72">
        <v>1</v>
      </c>
      <c r="F9" s="72">
        <v>1</v>
      </c>
      <c r="G9" s="72">
        <v>2000</v>
      </c>
      <c r="H9" s="72">
        <v>0</v>
      </c>
      <c r="I9" s="72">
        <v>0</v>
      </c>
      <c r="J9" s="72">
        <v>1</v>
      </c>
      <c r="K9" s="7">
        <v>0</v>
      </c>
      <c r="L9" s="12">
        <v>0.04</v>
      </c>
      <c r="M9" s="12">
        <v>0.04</v>
      </c>
      <c r="N9" s="69">
        <v>3</v>
      </c>
      <c r="O9" s="69">
        <v>1</v>
      </c>
      <c r="P9" s="69">
        <v>2</v>
      </c>
      <c r="Q9" s="69">
        <v>6</v>
      </c>
      <c r="R9" s="69">
        <v>4</v>
      </c>
      <c r="S9" s="69">
        <v>5</v>
      </c>
      <c r="T9" s="69">
        <v>0</v>
      </c>
      <c r="U9" s="69">
        <v>0</v>
      </c>
      <c r="V9" s="69">
        <v>0</v>
      </c>
      <c r="W9" s="69">
        <v>2646</v>
      </c>
      <c r="X9" s="69">
        <v>2646</v>
      </c>
      <c r="Y9" s="11">
        <v>2646</v>
      </c>
      <c r="Z9" s="9" t="s">
        <v>84</v>
      </c>
      <c r="AA9" s="12"/>
      <c r="AB9" s="14"/>
      <c r="AC9" s="53"/>
      <c r="AD9" s="65"/>
    </row>
    <row r="10" spans="1:30" ht="14.25" customHeight="1" thickTop="1" x14ac:dyDescent="0.2">
      <c r="A10" s="3" t="s">
        <v>92</v>
      </c>
      <c r="B10" s="4"/>
      <c r="C10" s="96" t="s">
        <v>24</v>
      </c>
      <c r="D10" s="97"/>
      <c r="E10" s="67">
        <v>0</v>
      </c>
      <c r="F10" s="67">
        <v>1</v>
      </c>
      <c r="G10" s="67">
        <v>0</v>
      </c>
      <c r="H10" s="67">
        <v>0</v>
      </c>
      <c r="I10" s="67">
        <v>0</v>
      </c>
      <c r="J10" s="67">
        <v>0</v>
      </c>
      <c r="K10" s="5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10">
        <v>0</v>
      </c>
      <c r="Z10" s="9" t="s">
        <v>84</v>
      </c>
      <c r="AA10" s="9"/>
      <c r="AB10" s="13"/>
      <c r="AC10" s="9"/>
      <c r="AD10" s="103"/>
    </row>
    <row r="11" spans="1:30" ht="15" customHeight="1" x14ac:dyDescent="0.2">
      <c r="A11" s="3" t="s">
        <v>92</v>
      </c>
      <c r="B11" s="6" t="s">
        <v>25</v>
      </c>
      <c r="C11" s="98" t="s">
        <v>89</v>
      </c>
      <c r="D11" s="98"/>
      <c r="E11" s="72">
        <v>0</v>
      </c>
      <c r="F11" s="72">
        <v>1</v>
      </c>
      <c r="G11" s="72">
        <v>2000</v>
      </c>
      <c r="H11" s="72">
        <v>0</v>
      </c>
      <c r="I11" s="72">
        <v>0</v>
      </c>
      <c r="J11" s="72">
        <v>1</v>
      </c>
      <c r="K11" s="7">
        <v>1</v>
      </c>
      <c r="L11" s="12">
        <v>0.01</v>
      </c>
      <c r="M11" s="12">
        <v>0.01</v>
      </c>
      <c r="N11" s="69">
        <v>12</v>
      </c>
      <c r="O11" s="69">
        <v>10</v>
      </c>
      <c r="P11" s="69">
        <v>11</v>
      </c>
      <c r="Q11" s="69">
        <v>15</v>
      </c>
      <c r="R11" s="69">
        <v>13</v>
      </c>
      <c r="S11" s="69">
        <v>14</v>
      </c>
      <c r="T11" s="69">
        <v>0</v>
      </c>
      <c r="U11" s="69">
        <v>0</v>
      </c>
      <c r="V11" s="69">
        <v>0</v>
      </c>
      <c r="W11" s="69">
        <v>0</v>
      </c>
      <c r="X11" s="69">
        <v>0</v>
      </c>
      <c r="Y11" s="11">
        <v>0</v>
      </c>
      <c r="Z11" s="9" t="s">
        <v>84</v>
      </c>
      <c r="AA11" s="12"/>
      <c r="AB11" s="14"/>
      <c r="AC11" s="53"/>
      <c r="AD11" s="104"/>
    </row>
    <row r="12" spans="1:30" ht="15" customHeight="1" x14ac:dyDescent="0.2">
      <c r="A12" s="3" t="s">
        <v>92</v>
      </c>
      <c r="B12" s="6" t="s">
        <v>25</v>
      </c>
      <c r="C12" s="98" t="s">
        <v>90</v>
      </c>
      <c r="D12" s="98"/>
      <c r="E12" s="72">
        <v>0</v>
      </c>
      <c r="F12" s="72">
        <v>1</v>
      </c>
      <c r="G12" s="72">
        <v>0</v>
      </c>
      <c r="H12" s="72">
        <v>0</v>
      </c>
      <c r="I12" s="72">
        <v>1</v>
      </c>
      <c r="J12" s="72">
        <v>0</v>
      </c>
      <c r="K12" s="7">
        <v>0</v>
      </c>
      <c r="L12" s="12">
        <v>0.02</v>
      </c>
      <c r="M12" s="12">
        <v>0.02</v>
      </c>
      <c r="N12" s="69">
        <v>12</v>
      </c>
      <c r="O12" s="69">
        <v>10</v>
      </c>
      <c r="P12" s="69">
        <v>11</v>
      </c>
      <c r="Q12" s="69">
        <v>15</v>
      </c>
      <c r="R12" s="69">
        <v>13</v>
      </c>
      <c r="S12" s="69">
        <v>14</v>
      </c>
      <c r="T12" s="69">
        <v>0</v>
      </c>
      <c r="U12" s="69">
        <v>0</v>
      </c>
      <c r="V12" s="69">
        <v>0</v>
      </c>
      <c r="W12" s="69">
        <v>0</v>
      </c>
      <c r="X12" s="69">
        <v>0</v>
      </c>
      <c r="Y12" s="11">
        <v>0</v>
      </c>
      <c r="Z12" s="9" t="s">
        <v>84</v>
      </c>
      <c r="AA12" s="12"/>
      <c r="AB12" s="14"/>
      <c r="AC12" s="53"/>
      <c r="AD12" s="73"/>
    </row>
  </sheetData>
  <mergeCells count="22">
    <mergeCell ref="AD3:AD4"/>
    <mergeCell ref="Z3:Z4"/>
    <mergeCell ref="AA3:AA4"/>
    <mergeCell ref="AD5:AD6"/>
    <mergeCell ref="AD10:AD11"/>
    <mergeCell ref="C10:D10"/>
    <mergeCell ref="C11:D11"/>
    <mergeCell ref="C12:D12"/>
    <mergeCell ref="AB3:AB4"/>
    <mergeCell ref="AC3:AC4"/>
    <mergeCell ref="C5:D5"/>
    <mergeCell ref="C6:D6"/>
    <mergeCell ref="C7:D7"/>
    <mergeCell ref="C8:D8"/>
    <mergeCell ref="C9:D9"/>
    <mergeCell ref="A2:B2"/>
    <mergeCell ref="L3:L4"/>
    <mergeCell ref="C2:D2"/>
    <mergeCell ref="M3:M4"/>
    <mergeCell ref="A3:A4"/>
    <mergeCell ref="B3:B4"/>
    <mergeCell ref="C3:D4"/>
  </mergeCells>
  <phoneticPr fontId="18" type="noConversion"/>
  <conditionalFormatting sqref="K2">
    <cfRule type="cellIs" dxfId="26" priority="41" operator="notEqual">
      <formula>#REF!</formula>
    </cfRule>
  </conditionalFormatting>
  <conditionalFormatting sqref="K2 N2:X2">
    <cfRule type="cellIs" dxfId="25" priority="39" operator="equal">
      <formula>"Pass"</formula>
    </cfRule>
    <cfRule type="cellIs" dxfId="24" priority="40" operator="equal">
      <formula>"Fail"</formula>
    </cfRule>
  </conditionalFormatting>
  <conditionalFormatting sqref="L2 N2:X2">
    <cfRule type="cellIs" dxfId="23" priority="32" operator="notEqual">
      <formula>#REF!</formula>
    </cfRule>
  </conditionalFormatting>
  <conditionalFormatting sqref="L2">
    <cfRule type="cellIs" dxfId="22" priority="30" operator="equal">
      <formula>"Pass"</formula>
    </cfRule>
    <cfRule type="cellIs" dxfId="21" priority="31" operator="equal">
      <formula>"Fail"</formula>
    </cfRule>
  </conditionalFormatting>
  <conditionalFormatting sqref="M2">
    <cfRule type="cellIs" dxfId="20" priority="29" operator="notEqual">
      <formula>#REF!</formula>
    </cfRule>
  </conditionalFormatting>
  <conditionalFormatting sqref="M2">
    <cfRule type="cellIs" dxfId="19" priority="27" operator="equal">
      <formula>"Pass"</formula>
    </cfRule>
    <cfRule type="cellIs" dxfId="18" priority="28" operator="equal">
      <formula>"Fail"</formula>
    </cfRule>
  </conditionalFormatting>
  <conditionalFormatting sqref="B5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Z5:AB6">
    <cfRule type="cellIs" dxfId="14" priority="14" stopIfTrue="1" operator="equal">
      <formula>"PASS"</formula>
    </cfRule>
    <cfRule type="cellIs" dxfId="13" priority="15" stopIfTrue="1" operator="equal">
      <formula>"FAIL"</formula>
    </cfRule>
  </conditionalFormatting>
  <conditionalFormatting sqref="B10">
    <cfRule type="cellIs" dxfId="12" priority="11" stopIfTrue="1" operator="equal">
      <formula>"Pass"</formula>
    </cfRule>
    <cfRule type="cellIs" dxfId="11" priority="12" stopIfTrue="1" operator="equal">
      <formula>"Fail"</formula>
    </cfRule>
    <cfRule type="cellIs" dxfId="10" priority="13" stopIfTrue="1" operator="equal">
      <formula>"NotTest"</formula>
    </cfRule>
  </conditionalFormatting>
  <conditionalFormatting sqref="Z10:AB11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Z7:AB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Z8:AB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Z9:AB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Z12:AB12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Z5:Z12">
      <formula1>"Pass,Fail,NotTest"</formula1>
    </dataValidation>
    <dataValidation type="list" showInputMessage="1" showErrorMessage="1" sqref="E2:K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2023-09-21T05:21:53Z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